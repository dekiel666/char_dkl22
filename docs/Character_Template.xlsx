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acter" sheetId="1" state="visible" r:id="rId1"/>
    <sheet xmlns:r="http://schemas.openxmlformats.org/officeDocument/2006/relationships" name="Career" sheetId="2" state="visible" r:id="rId2"/>
    <sheet xmlns:r="http://schemas.openxmlformats.org/officeDocument/2006/relationships" name="Equipment" sheetId="3" state="visible" r:id="rId3"/>
    <sheet xmlns:r="http://schemas.openxmlformats.org/officeDocument/2006/relationships" name="Spells &amp; Prayers" sheetId="4" state="visible" r:id="rId4"/>
    <sheet xmlns:r="http://schemas.openxmlformats.org/officeDocument/2006/relationships" name="Background" sheetId="5" state="visible" r:id="rId5"/>
    <sheet xmlns:r="http://schemas.openxmlformats.org/officeDocument/2006/relationships" name="Data_Lists" sheetId="6" state="visible" r:id="rId6"/>
    <sheet xmlns:r="http://schemas.openxmlformats.org/officeDocument/2006/relationships" name="Data_Skills" sheetId="7" state="visible" r:id="rId7"/>
    <sheet xmlns:r="http://schemas.openxmlformats.org/officeDocument/2006/relationships" name="Data_Talents" sheetId="8" state="visible" r:id="rId8"/>
    <sheet xmlns:r="http://schemas.openxmlformats.org/officeDocument/2006/relationships" name="Data_Careers" sheetId="9" state="visible" r:id="rId9"/>
    <sheet xmlns:r="http://schemas.openxmlformats.org/officeDocument/2006/relationships" name="Data_Gear" sheetId="10" state="visible" r:id="rId10"/>
    <sheet xmlns:r="http://schemas.openxmlformats.org/officeDocument/2006/relationships" name="Data_Spells" sheetId="11" state="visible" r:id="rId11"/>
  </sheets>
  <definedNames>
    <definedName name="_xlnm._FilterDatabase" localSheetId="6" hidden="1">'Data_Skills'!$A$1:$G$202</definedName>
    <definedName name="_xlnm._FilterDatabase" localSheetId="7" hidden="1">'Data_Talents'!$A$1:$F$230</definedName>
    <definedName name="_xlnm._FilterDatabase" localSheetId="8" hidden="1">'Data_Careers'!$A$1:$Y$257</definedName>
    <definedName name="_xlnm._FilterDatabase" localSheetId="9" hidden="1">'Data_Gear'!$A$1:$P$261</definedName>
    <definedName name="_xlnm._FilterDatabase" localSheetId="10" hidden="1">'Data_Spells'!$A$1:$I$220</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Georgia"/>
      <b val="1"/>
      <color rgb="007A1F1F"/>
      <sz val="16"/>
    </font>
    <font>
      <i val="1"/>
      <color rgb="00666666"/>
      <sz val="8"/>
    </font>
    <font>
      <b val="1"/>
      <sz val="10"/>
    </font>
    <font>
      <b val="1"/>
      <color rgb="00FFFFFF"/>
      <sz val="11"/>
    </font>
    <font>
      <b val="1"/>
      <sz val="9"/>
    </font>
    <font>
      <b val="1"/>
      <sz val="12"/>
    </font>
    <font>
      <sz val="9"/>
    </font>
    <font>
      <sz val="8"/>
    </font>
  </fonts>
  <fills count="8">
    <fill>
      <patternFill/>
    </fill>
    <fill>
      <patternFill patternType="gray125"/>
    </fill>
    <fill>
      <patternFill patternType="solid">
        <fgColor rgb="00E7DCC8"/>
      </patternFill>
    </fill>
    <fill>
      <patternFill patternType="solid">
        <fgColor rgb="00FFFFFF"/>
      </patternFill>
    </fill>
    <fill>
      <patternFill patternType="solid">
        <fgColor rgb="00F2F2F2"/>
      </patternFill>
    </fill>
    <fill>
      <patternFill patternType="solid">
        <fgColor rgb="007A1F1F"/>
      </patternFill>
    </fill>
    <fill>
      <patternFill patternType="solid">
        <fgColor rgb="00FFF2CC"/>
      </patternFill>
    </fill>
    <fill>
      <patternFill patternType="solid">
        <fgColor rgb="00D9D9D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0" fillId="3" borderId="1" applyAlignment="1" pivotButton="0" quotePrefix="0" xfId="0">
      <alignment horizontal="left" vertical="center"/>
    </xf>
    <xf numFmtId="0" fontId="0" fillId="0" borderId="1" pivotButton="0" quotePrefix="0" xfId="0"/>
    <xf numFmtId="0" fontId="0" fillId="4" borderId="1" applyAlignment="1" pivotButton="0" quotePrefix="0" xfId="0">
      <alignment horizontal="left" vertical="center"/>
    </xf>
    <xf numFmtId="0" fontId="4" fillId="5" borderId="0" applyAlignment="1" pivotButton="0" quotePrefix="0" xfId="0">
      <alignment horizontal="left" vertical="center"/>
    </xf>
    <xf numFmtId="0" fontId="0" fillId="2" borderId="1" pivotButton="0" quotePrefix="0" xfId="0"/>
    <xf numFmtId="0" fontId="5" fillId="2" borderId="1" applyAlignment="1" pivotButton="0" quotePrefix="0" xfId="0">
      <alignment horizontal="center" vertical="center" wrapText="1"/>
    </xf>
    <xf numFmtId="0" fontId="7" fillId="2" borderId="1" applyAlignment="1" pivotButton="0" quotePrefix="0" xfId="0">
      <alignment horizontal="left" vertical="center"/>
    </xf>
    <xf numFmtId="0" fontId="0"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2" fillId="0" borderId="1" applyAlignment="1" pivotButton="0" quotePrefix="0" xfId="0">
      <alignment vertical="center" wrapText="1"/>
    </xf>
    <xf numFmtId="0" fontId="0" fillId="4" borderId="1" applyAlignment="1" pivotButton="0" quotePrefix="0" xfId="0">
      <alignment horizontal="center" vertical="center" wrapText="1"/>
    </xf>
    <xf numFmtId="0" fontId="6"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8" fillId="2" borderId="1" applyAlignment="1" pivotButton="0" quotePrefix="0" xfId="0">
      <alignment vertical="center" wrapText="1"/>
    </xf>
    <xf numFmtId="3" fontId="0" fillId="4" borderId="1" applyAlignment="1" pivotButton="0" quotePrefix="0" xfId="0">
      <alignment horizontal="center" vertical="center" wrapText="1"/>
    </xf>
    <xf numFmtId="3" fontId="6" fillId="3" borderId="1" applyAlignment="1" pivotButton="0" quotePrefix="0" xfId="0">
      <alignment horizontal="center" vertical="center" wrapText="1"/>
    </xf>
    <xf numFmtId="3" fontId="6" fillId="4" borderId="1" applyAlignment="1" pivotButton="0" quotePrefix="0" xfId="0">
      <alignment horizontal="center" vertical="center" wrapText="1"/>
    </xf>
    <xf numFmtId="0" fontId="0" fillId="6" borderId="1" applyAlignment="1" pivotButton="0" quotePrefix="0" xfId="0">
      <alignment horizontal="center" vertical="center" wrapText="1"/>
    </xf>
    <xf numFmtId="0" fontId="5" fillId="2" borderId="1" applyAlignment="1" pivotButton="0" quotePrefix="0" xfId="0">
      <alignment horizontal="left" vertical="center"/>
    </xf>
    <xf numFmtId="0" fontId="3" fillId="4" borderId="1" applyAlignment="1" pivotButton="0" quotePrefix="0" xfId="0">
      <alignment vertical="top" wrapText="1"/>
    </xf>
    <xf numFmtId="0" fontId="0" fillId="4" borderId="1" applyAlignment="1" pivotButton="0" quotePrefix="0" xfId="0">
      <alignment vertical="top" wrapText="1"/>
    </xf>
    <xf numFmtId="0" fontId="3" fillId="2" borderId="1" pivotButton="0" quotePrefix="0" xfId="0"/>
    <xf numFmtId="0" fontId="6" fillId="4" borderId="1" pivotButton="0" quotePrefix="0" xfId="0"/>
    <xf numFmtId="0" fontId="0" fillId="4" borderId="1" pivotButton="0" quotePrefix="0" xfId="0"/>
    <xf numFmtId="0" fontId="3" fillId="2" borderId="1" applyAlignment="1" pivotButton="0" quotePrefix="0" xfId="0">
      <alignment horizontal="center" vertical="center" wrapText="1"/>
    </xf>
    <xf numFmtId="0" fontId="0" fillId="4" borderId="1" applyAlignment="1" pivotButton="0" quotePrefix="0" xfId="0">
      <alignment vertical="center" wrapText="1"/>
    </xf>
    <xf numFmtId="164" fontId="3" fillId="4" borderId="1" applyAlignment="1" pivotButton="0" quotePrefix="0" xfId="0">
      <alignment horizontal="center" vertical="center" wrapText="1"/>
    </xf>
    <xf numFmtId="3" fontId="3" fillId="4"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horizontal="center" vertical="top" wrapText="1"/>
    </xf>
    <xf numFmtId="0" fontId="3" fillId="2" borderId="1" applyAlignment="1" pivotButton="0" quotePrefix="0" xfId="0">
      <alignment vertical="top" wrapText="1"/>
    </xf>
    <xf numFmtId="0" fontId="5" fillId="7" borderId="0" pivotButton="0" quotePrefix="0" xfId="0"/>
    <xf numFmtId="0" fontId="5" fillId="7" borderId="1" pivotButton="0" quotePrefix="0" xfId="0"/>
  </cellXfs>
  <cellStyles count="1">
    <cellStyle name="Normal" xfId="0" builtinId="0" hidden="0"/>
  </cellStyles>
  <dxfs count="3">
    <dxf>
      <fill>
        <patternFill patternType="solid">
          <fgColor rgb="00FCE9C0"/>
        </patternFill>
      </fill>
    </dxf>
    <dxf>
      <font>
        <b val="1"/>
      </font>
      <fill>
        <patternFill patternType="solid">
          <fgColor rgb="00FCE9C0"/>
        </patternFill>
      </fill>
    </dxf>
    <dxf>
      <font>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A1F1F"/>
    <outlinePr summaryBelow="1" summaryRight="1"/>
    <pageSetUpPr fitToPage="1"/>
  </sheetPr>
  <dimension ref="A1:U140"/>
  <sheetViews>
    <sheetView workbookViewId="0">
      <pane ySplit="2" topLeftCell="A3" activePane="bottomLeft" state="frozen"/>
      <selection pane="bottomLeft" activeCell="A1" sqref="A1"/>
    </sheetView>
  </sheetViews>
  <sheetFormatPr baseColWidth="8" defaultRowHeight="15"/>
  <cols>
    <col width="24"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2"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hidden="1" width="6" customWidth="1" min="20" max="20"/>
    <col hidden="1" width="6" customWidth="1" min="21" max="21"/>
  </cols>
  <sheetData>
    <row r="1">
      <c r="A1" s="1" t="inlineStr">
        <is>
          <t>WARHAMMER FANTASY ROLEPLAY 5E — CHARACTER</t>
        </is>
      </c>
    </row>
    <row r="2">
      <c r="A2" s="2" t="inlineStr">
        <is>
          <t>White cells: enter values · Grey cells: calculated · Yellow: starting (free) advances · Dropdowns accept custom text (a warning is shown).</t>
        </is>
      </c>
    </row>
    <row r="3">
      <c r="A3" s="3" t="inlineStr">
        <is>
          <t>Name</t>
        </is>
      </c>
      <c r="B3" s="4" t="n"/>
      <c r="C3" s="5" t="n"/>
      <c r="D3" s="5" t="n"/>
      <c r="E3" s="5" t="n"/>
      <c r="F3" s="3" t="inlineStr">
        <is>
          <t>Species</t>
        </is>
      </c>
      <c r="G3" s="5" t="n"/>
      <c r="H3" s="4" t="n"/>
      <c r="I3" s="5" t="n"/>
      <c r="J3" s="5" t="n"/>
      <c r="K3" s="5" t="n"/>
      <c r="M3" s="3" t="inlineStr">
        <is>
          <t>Career</t>
        </is>
      </c>
      <c r="N3" s="5" t="n"/>
      <c r="O3" s="4" t="n"/>
      <c r="P3" s="5" t="n"/>
      <c r="Q3" s="5" t="n"/>
      <c r="R3" s="5" t="n"/>
      <c r="S3" s="5" t="n"/>
    </row>
    <row r="4">
      <c r="A4" s="3" t="inlineStr">
        <is>
          <t>Career level</t>
        </is>
      </c>
      <c r="B4" s="4" t="n"/>
      <c r="C4" s="5" t="n"/>
      <c r="D4" s="5" t="n"/>
      <c r="E4" s="5" t="n"/>
      <c r="F4" s="3" t="inlineStr">
        <is>
          <t>Career title</t>
        </is>
      </c>
      <c r="G4" s="5" t="n"/>
      <c r="H4" s="6">
        <f>IF(OR($O$3="",$B$4=""),"",IFERROR(INDEX(Data_Careers!$E:$E,MATCH($O$3&amp;"|"&amp;$B$4,Data_Careers!$A:$A,0)),""))</f>
        <v/>
      </c>
      <c r="I4" s="5" t="n"/>
      <c r="J4" s="5" t="n"/>
      <c r="K4" s="5" t="n"/>
      <c r="M4" s="3" t="inlineStr">
        <is>
          <t>Class</t>
        </is>
      </c>
      <c r="N4" s="5" t="n"/>
      <c r="O4" s="6">
        <f>IF($O$3="","",IFERROR(INDEX(Data_Careers!$D:$D,MATCH($O$3&amp;"|1",Data_Careers!$A:$A,0)),""))</f>
        <v/>
      </c>
      <c r="P4" s="5" t="n"/>
      <c r="Q4" s="5" t="n"/>
      <c r="R4" s="5" t="n"/>
      <c r="S4" s="5" t="n"/>
    </row>
    <row r="5">
      <c r="A5" s="3" t="inlineStr">
        <is>
          <t>Status</t>
        </is>
      </c>
      <c r="B5" s="6">
        <f>IF(OR($O$3="",$B$4=""),"",IFERROR(INDEX(Data_Careers!$F:$F,MATCH($O$3&amp;"|"&amp;$B$4,Data_Careers!$A:$A,0)),""))</f>
        <v/>
      </c>
      <c r="C5" s="5" t="n"/>
      <c r="D5" s="5" t="n"/>
      <c r="E5" s="5" t="n"/>
      <c r="F5" s="3" t="inlineStr">
        <is>
          <t>Income skill</t>
        </is>
      </c>
      <c r="G5" s="5" t="n"/>
      <c r="H5" s="6">
        <f>IF($O$3="","",IFERROR(INDEX(Data_Careers!$M:$M,MATCH($O$3&amp;"|1",Data_Careers!$A:$A,0)),""))</f>
        <v/>
      </c>
      <c r="I5" s="5" t="n"/>
      <c r="J5" s="5" t="n"/>
      <c r="K5" s="5" t="n"/>
      <c r="M5" s="3" t="inlineStr">
        <is>
          <t>Age</t>
        </is>
      </c>
      <c r="N5" s="5" t="n"/>
      <c r="O5" s="4" t="n"/>
      <c r="P5" s="5" t="n"/>
      <c r="Q5" s="5" t="n"/>
      <c r="R5" s="5" t="n"/>
      <c r="S5" s="5" t="n"/>
    </row>
    <row r="6">
      <c r="A6" s="3" t="inlineStr">
        <is>
          <t>Height</t>
        </is>
      </c>
      <c r="B6" s="4" t="n"/>
      <c r="C6" s="5" t="n"/>
      <c r="D6" s="5" t="n"/>
      <c r="E6" s="5" t="n"/>
      <c r="F6" s="3" t="inlineStr">
        <is>
          <t>Eyes</t>
        </is>
      </c>
      <c r="G6" s="5" t="n"/>
      <c r="H6" s="4" t="n"/>
      <c r="I6" s="5" t="n"/>
      <c r="J6" s="5" t="n"/>
      <c r="K6" s="5" t="n"/>
      <c r="M6" s="3" t="inlineStr">
        <is>
          <t>Hair</t>
        </is>
      </c>
      <c r="N6" s="5" t="n"/>
      <c r="O6" s="4" t="n"/>
      <c r="P6" s="5" t="n"/>
      <c r="Q6" s="5" t="n"/>
      <c r="R6" s="5" t="n"/>
      <c r="S6" s="5" t="n"/>
    </row>
    <row r="7">
      <c r="A7" s="3" t="inlineStr">
        <is>
          <t>Ambition</t>
        </is>
      </c>
      <c r="B7" s="4" t="n"/>
      <c r="C7" s="5" t="n"/>
      <c r="D7" s="5" t="n"/>
      <c r="E7" s="5" t="n"/>
      <c r="F7" s="5" t="n"/>
      <c r="G7" s="5" t="n"/>
      <c r="H7" s="5" t="n"/>
      <c r="I7" s="5" t="n"/>
      <c r="J7" s="5" t="n"/>
      <c r="K7" s="5" t="n"/>
      <c r="M7" s="3" t="inlineStr">
        <is>
          <t>Party ambition</t>
        </is>
      </c>
      <c r="N7" s="5" t="n"/>
      <c r="O7" s="4" t="n"/>
      <c r="P7" s="5" t="n"/>
      <c r="Q7" s="5" t="n"/>
      <c r="R7" s="5" t="n"/>
      <c r="S7" s="5" t="n"/>
    </row>
    <row r="8"/>
    <row r="9">
      <c r="A9" s="7" t="inlineStr">
        <is>
          <t>CHARACTERISTICS</t>
        </is>
      </c>
      <c r="M9" s="7" t="inlineStr">
        <is>
          <t>ATTRIBUTES</t>
        </is>
      </c>
    </row>
    <row r="10">
      <c r="A10" s="8" t="inlineStr"/>
      <c r="B10" s="9" t="inlineStr">
        <is>
          <t>WS</t>
        </is>
      </c>
      <c r="C10" s="9" t="inlineStr">
        <is>
          <t>BS</t>
        </is>
      </c>
      <c r="D10" s="9" t="inlineStr">
        <is>
          <t>S</t>
        </is>
      </c>
      <c r="E10" s="9" t="inlineStr">
        <is>
          <t>T</t>
        </is>
      </c>
      <c r="F10" s="9" t="inlineStr">
        <is>
          <t>I</t>
        </is>
      </c>
      <c r="G10" s="9" t="inlineStr">
        <is>
          <t>Ag</t>
        </is>
      </c>
      <c r="H10" s="9" t="inlineStr">
        <is>
          <t>Dex</t>
        </is>
      </c>
      <c r="I10" s="9" t="inlineStr">
        <is>
          <t>Int</t>
        </is>
      </c>
      <c r="J10" s="9" t="inlineStr">
        <is>
          <t>WP</t>
        </is>
      </c>
      <c r="K10" s="9" t="inlineStr">
        <is>
          <t>Fel</t>
        </is>
      </c>
      <c r="M10" s="8" t="inlineStr"/>
      <c r="N10" s="5" t="n"/>
      <c r="O10" s="9" t="inlineStr">
        <is>
          <t>Current</t>
        </is>
      </c>
      <c r="P10" s="9" t="inlineStr">
        <is>
          <t>Max</t>
        </is>
      </c>
      <c r="Q10" s="9" t="inlineStr">
        <is>
          <t>How it is calculated</t>
        </is>
      </c>
      <c r="R10" s="5" t="n"/>
      <c r="S10" s="5" t="n"/>
    </row>
    <row r="11">
      <c r="A11" s="10" t="inlineStr">
        <is>
          <t>Initial (species + roll + career pts)</t>
        </is>
      </c>
      <c r="B11" s="11" t="n"/>
      <c r="C11" s="11" t="n"/>
      <c r="D11" s="11" t="n"/>
      <c r="E11" s="11" t="n"/>
      <c r="F11" s="11" t="n"/>
      <c r="G11" s="11" t="n"/>
      <c r="H11" s="11" t="n"/>
      <c r="I11" s="11" t="n"/>
      <c r="J11" s="11" t="n"/>
      <c r="K11" s="11" t="n"/>
      <c r="M11" s="3" t="inlineStr">
        <is>
          <t>Wounds</t>
        </is>
      </c>
      <c r="N11" s="5" t="n"/>
      <c r="O11" s="12" t="n"/>
      <c r="P11" s="13">
        <f>$D$17+$J$17+2*$E$17+$E$17*SUMIF($M$27:$M$77,"Hardy",$U$27:$U$77)</f>
        <v/>
      </c>
      <c r="Q11" s="14" t="inlineStr">
        <is>
          <t>SB + WPB + 2×TB (+TB per Hardy)</t>
        </is>
      </c>
      <c r="R11" s="5" t="n"/>
      <c r="S11" s="5" t="n"/>
    </row>
    <row r="12">
      <c r="A12" s="10" t="inlineStr">
        <is>
          <t>Advances (+5 each)</t>
        </is>
      </c>
      <c r="B12" s="11" t="n">
        <v>0</v>
      </c>
      <c r="C12" s="11" t="n">
        <v>0</v>
      </c>
      <c r="D12" s="11" t="n">
        <v>0</v>
      </c>
      <c r="E12" s="11" t="n">
        <v>0</v>
      </c>
      <c r="F12" s="11" t="n">
        <v>0</v>
      </c>
      <c r="G12" s="11" t="n">
        <v>0</v>
      </c>
      <c r="H12" s="11" t="n">
        <v>0</v>
      </c>
      <c r="I12" s="11" t="n">
        <v>0</v>
      </c>
      <c r="J12" s="11" t="n">
        <v>0</v>
      </c>
      <c r="K12" s="11" t="n">
        <v>0</v>
      </c>
      <c r="M12" s="3" t="inlineStr">
        <is>
          <t>Fate</t>
        </is>
      </c>
      <c r="N12" s="5" t="n"/>
      <c r="O12" s="12" t="n"/>
      <c r="P12" s="13">
        <f>IF($H$3="","",IFERROR(INDEX(Data_Lists!$B$2:$B$6,MATCH($H$3,Data_Lists!$A$2:$A$6,0)),""))</f>
        <v/>
      </c>
      <c r="Q12" s="14" t="inlineStr">
        <is>
          <t>Species Fate (+1 if you kept all first rolls)</t>
        </is>
      </c>
      <c r="R12" s="5" t="n"/>
      <c r="S12" s="5" t="n"/>
    </row>
    <row r="13">
      <c r="A13" s="10" t="inlineStr">
        <is>
          <t>…of which non-career</t>
        </is>
      </c>
      <c r="B13" s="11" t="n">
        <v>0</v>
      </c>
      <c r="C13" s="11" t="n">
        <v>0</v>
      </c>
      <c r="D13" s="11" t="n">
        <v>0</v>
      </c>
      <c r="E13" s="11" t="n">
        <v>0</v>
      </c>
      <c r="F13" s="11" t="n">
        <v>0</v>
      </c>
      <c r="G13" s="11" t="n">
        <v>0</v>
      </c>
      <c r="H13" s="11" t="n">
        <v>0</v>
      </c>
      <c r="I13" s="11" t="n">
        <v>0</v>
      </c>
      <c r="J13" s="11" t="n">
        <v>0</v>
      </c>
      <c r="K13" s="11" t="n">
        <v>0</v>
      </c>
      <c r="M13" s="3" t="inlineStr">
        <is>
          <t>Fortune</t>
        </is>
      </c>
      <c r="N13" s="5" t="n"/>
      <c r="O13" s="12" t="n"/>
      <c r="P13" s="13">
        <f>IF($H$3="","",IFERROR(INDEX(Data_Lists!$C$2:$C$6,MATCH($H$3,Data_Lists!$A$2:$A$6,0)),"")+MIN(3,SUMIF($M$27:$M$77,"Luck",$U$27:$U$77)))</f>
        <v/>
      </c>
      <c r="Q13" s="14" t="inlineStr">
        <is>
          <t>Species Fortune (+1 if you kept the species roll) + Luck</t>
        </is>
      </c>
      <c r="R13" s="5" t="n"/>
      <c r="S13" s="5" t="n"/>
    </row>
    <row r="14">
      <c r="A14" s="10" t="inlineStr">
        <is>
          <t>Talent bonus (auto)</t>
        </is>
      </c>
      <c r="B14" s="15">
        <f>5*SUMIF($T$27:$T$77,B$10,$U$27:$U$77)</f>
        <v/>
      </c>
      <c r="C14" s="15">
        <f>5*SUMIF($T$27:$T$77,C$10,$U$27:$U$77)</f>
        <v/>
      </c>
      <c r="D14" s="15">
        <f>5*SUMIF($T$27:$T$77,D$10,$U$27:$U$77)</f>
        <v/>
      </c>
      <c r="E14" s="15">
        <f>5*SUMIF($T$27:$T$77,E$10,$U$27:$U$77)</f>
        <v/>
      </c>
      <c r="F14" s="15">
        <f>5*SUMIF($T$27:$T$77,F$10,$U$27:$U$77)</f>
        <v/>
      </c>
      <c r="G14" s="15">
        <f>5*SUMIF($T$27:$T$77,G$10,$U$27:$U$77)</f>
        <v/>
      </c>
      <c r="H14" s="15">
        <f>5*SUMIF($T$27:$T$77,H$10,$U$27:$U$77)</f>
        <v/>
      </c>
      <c r="I14" s="15">
        <f>5*SUMIF($T$27:$T$77,I$10,$U$27:$U$77)</f>
        <v/>
      </c>
      <c r="J14" s="15">
        <f>5*SUMIF($T$27:$T$77,J$10,$U$27:$U$77)</f>
        <v/>
      </c>
      <c r="K14" s="15">
        <f>5*SUMIF($T$27:$T$77,K$10,$U$27:$U$77)</f>
        <v/>
      </c>
      <c r="M14" s="3" t="inlineStr">
        <is>
          <t>Movement</t>
        </is>
      </c>
      <c r="N14" s="5" t="n"/>
      <c r="O14" s="13">
        <f>IF($H$3="","",IFERROR(INDEX(Data_Lists!$D$2:$D$6,MATCH($H$3,Data_Lists!$A$2:$A$6,0)),"")+IF(SUMIF($M$27:$M$77,"Fleet-footed",$U$27:$U$77)&gt;0,1,0))</f>
        <v/>
      </c>
      <c r="P14" s="16" t="n"/>
      <c r="Q14" s="14" t="inlineStr">
        <is>
          <t>Species Move (+1 Fleet-footed)</t>
        </is>
      </c>
      <c r="R14" s="5" t="n"/>
      <c r="S14" s="5" t="n"/>
    </row>
    <row r="15">
      <c r="A15" s="10" t="inlineStr">
        <is>
          <t>Other modifier</t>
        </is>
      </c>
      <c r="B15" s="11" t="n">
        <v>0</v>
      </c>
      <c r="C15" s="11" t="n">
        <v>0</v>
      </c>
      <c r="D15" s="11" t="n">
        <v>0</v>
      </c>
      <c r="E15" s="11" t="n">
        <v>0</v>
      </c>
      <c r="F15" s="11" t="n">
        <v>0</v>
      </c>
      <c r="G15" s="11" t="n">
        <v>0</v>
      </c>
      <c r="H15" s="11" t="n">
        <v>0</v>
      </c>
      <c r="I15" s="11" t="n">
        <v>0</v>
      </c>
      <c r="J15" s="11" t="n">
        <v>0</v>
      </c>
      <c r="K15" s="11" t="n">
        <v>0</v>
      </c>
      <c r="M15" s="3" t="inlineStr">
        <is>
          <t>Walk / Run</t>
        </is>
      </c>
      <c r="N15" s="5" t="n"/>
      <c r="O15" s="13">
        <f>IF(O14="","",O14*2&amp;" / "&amp;O14*4)</f>
        <v/>
      </c>
      <c r="P15" s="16" t="n"/>
      <c r="Q15" s="14" t="inlineStr">
        <is>
          <t>Walk = 2×M, Run = 4×M (yards per round)</t>
        </is>
      </c>
      <c r="R15" s="5" t="n"/>
      <c r="S15" s="5" t="n"/>
    </row>
    <row r="16">
      <c r="A16" s="3" t="inlineStr">
        <is>
          <t>CURRENT</t>
        </is>
      </c>
      <c r="B16" s="13">
        <f>N(B11)+N(B12)+N(B14)+N(B15)</f>
        <v/>
      </c>
      <c r="C16" s="13">
        <f>N(C11)+N(C12)+N(C14)+N(C15)</f>
        <v/>
      </c>
      <c r="D16" s="13">
        <f>N(D11)+N(D12)+N(D14)+N(D15)</f>
        <v/>
      </c>
      <c r="E16" s="13">
        <f>N(E11)+N(E12)+N(E14)+N(E15)</f>
        <v/>
      </c>
      <c r="F16" s="13">
        <f>N(F11)+N(F12)+N(F14)+N(F15)</f>
        <v/>
      </c>
      <c r="G16" s="13">
        <f>N(G11)+N(G12)+N(G14)+N(G15)</f>
        <v/>
      </c>
      <c r="H16" s="13">
        <f>N(H11)+N(H12)+N(H14)+N(H15)</f>
        <v/>
      </c>
      <c r="I16" s="13">
        <f>N(I11)+N(I12)+N(I14)+N(I15)</f>
        <v/>
      </c>
      <c r="J16" s="13">
        <f>N(J11)+N(J12)+N(J14)+N(J15)</f>
        <v/>
      </c>
      <c r="K16" s="13">
        <f>N(K11)+N(K12)+N(K14)+N(K15)</f>
        <v/>
      </c>
      <c r="M16" s="3" t="inlineStr">
        <is>
          <t>Encumbrance</t>
        </is>
      </c>
      <c r="N16" s="5" t="n"/>
      <c r="O16" s="13">
        <f>Equipment!$B$90</f>
        <v/>
      </c>
      <c r="P16" s="13">
        <f>$D$17*IF(SUMIF($M$27:$M$77,"Sturdy",$U$27:$U$77)&gt;0,2,1)+$E$17+IF(SUMIF($M$27:$M$77,"Strong Back",$U$27:$U$77)&gt;=2,3,SUMIF($M$27:$M$77,"Strong Back",$U$27:$U$77))+N(O17)</f>
        <v/>
      </c>
      <c r="Q16" s="14" t="inlineStr">
        <is>
          <t>Carried (Equipment tab) / max SB + TB (SB×2 Sturdy, +Strong Back)</t>
        </is>
      </c>
      <c r="R16" s="5" t="n"/>
      <c r="S16" s="5" t="n"/>
    </row>
    <row r="17">
      <c r="A17" s="10" t="inlineStr">
        <is>
          <t>Bonus</t>
        </is>
      </c>
      <c r="B17" s="17">
        <f>INT(B16/10)</f>
        <v/>
      </c>
      <c r="C17" s="17">
        <f>INT(C16/10)</f>
        <v/>
      </c>
      <c r="D17" s="17">
        <f>INT(D16/10)</f>
        <v/>
      </c>
      <c r="E17" s="17">
        <f>INT(E16/10)</f>
        <v/>
      </c>
      <c r="F17" s="17">
        <f>INT(F16/10)</f>
        <v/>
      </c>
      <c r="G17" s="17">
        <f>INT(G16/10)</f>
        <v/>
      </c>
      <c r="H17" s="17">
        <f>INT(H16/10)</f>
        <v/>
      </c>
      <c r="I17" s="17">
        <f>INT(I16/10)</f>
        <v/>
      </c>
      <c r="J17" s="17">
        <f>INT(J16/10)</f>
        <v/>
      </c>
      <c r="K17" s="17">
        <f>INT(K16/10)</f>
        <v/>
      </c>
      <c r="M17" s="3" t="inlineStr">
        <is>
          <t>Max Enc adjust</t>
        </is>
      </c>
      <c r="N17" s="5" t="n"/>
      <c r="O17" s="12" t="n">
        <v>0</v>
      </c>
      <c r="P17" s="16" t="n"/>
      <c r="Q17" s="14" t="inlineStr">
        <is>
          <t>GM rulings, Dwarf house rule etc.</t>
        </is>
      </c>
      <c r="R17" s="5" t="n"/>
      <c r="S17" s="5" t="n"/>
    </row>
    <row r="18">
      <c r="A18" s="18" t="inlineStr">
        <is>
          <t>Career characteristic (★ now, Ln = opens at level n)</t>
        </is>
      </c>
      <c r="B18" s="15">
        <f>IF($O$3="","",IFERROR(IF(INDEX(Data_Careers!$P:$P,MATCH($O$3&amp;"|1",Data_Careers!$A:$A,0))="","",IF(INDEX(Data_Careers!$P:$P,MATCH($O$3&amp;"|1",Data_Careers!$A:$A,0))&lt;=N($B$4),"★","L"&amp;INDEX(Data_Careers!$P:$P,MATCH($O$3&amp;"|1",Data_Careers!$A:$A,0)))),""))</f>
        <v/>
      </c>
      <c r="C18" s="15">
        <f>IF($O$3="","",IFERROR(IF(INDEX(Data_Careers!$Q:$Q,MATCH($O$3&amp;"|1",Data_Careers!$A:$A,0))="","",IF(INDEX(Data_Careers!$Q:$Q,MATCH($O$3&amp;"|1",Data_Careers!$A:$A,0))&lt;=N($B$4),"★","L"&amp;INDEX(Data_Careers!$Q:$Q,MATCH($O$3&amp;"|1",Data_Careers!$A:$A,0)))),""))</f>
        <v/>
      </c>
      <c r="D18" s="15">
        <f>IF($O$3="","",IFERROR(IF(INDEX(Data_Careers!$R:$R,MATCH($O$3&amp;"|1",Data_Careers!$A:$A,0))="","",IF(INDEX(Data_Careers!$R:$R,MATCH($O$3&amp;"|1",Data_Careers!$A:$A,0))&lt;=N($B$4),"★","L"&amp;INDEX(Data_Careers!$R:$R,MATCH($O$3&amp;"|1",Data_Careers!$A:$A,0)))),""))</f>
        <v/>
      </c>
      <c r="E18" s="15">
        <f>IF($O$3="","",IFERROR(IF(INDEX(Data_Careers!$S:$S,MATCH($O$3&amp;"|1",Data_Careers!$A:$A,0))="","",IF(INDEX(Data_Careers!$S:$S,MATCH($O$3&amp;"|1",Data_Careers!$A:$A,0))&lt;=N($B$4),"★","L"&amp;INDEX(Data_Careers!$S:$S,MATCH($O$3&amp;"|1",Data_Careers!$A:$A,0)))),""))</f>
        <v/>
      </c>
      <c r="F18" s="15">
        <f>IF($O$3="","",IFERROR(IF(INDEX(Data_Careers!$T:$T,MATCH($O$3&amp;"|1",Data_Careers!$A:$A,0))="","",IF(INDEX(Data_Careers!$T:$T,MATCH($O$3&amp;"|1",Data_Careers!$A:$A,0))&lt;=N($B$4),"★","L"&amp;INDEX(Data_Careers!$T:$T,MATCH($O$3&amp;"|1",Data_Careers!$A:$A,0)))),""))</f>
        <v/>
      </c>
      <c r="G18" s="15">
        <f>IF($O$3="","",IFERROR(IF(INDEX(Data_Careers!$U:$U,MATCH($O$3&amp;"|1",Data_Careers!$A:$A,0))="","",IF(INDEX(Data_Careers!$U:$U,MATCH($O$3&amp;"|1",Data_Careers!$A:$A,0))&lt;=N($B$4),"★","L"&amp;INDEX(Data_Careers!$U:$U,MATCH($O$3&amp;"|1",Data_Careers!$A:$A,0)))),""))</f>
        <v/>
      </c>
      <c r="H18" s="15">
        <f>IF($O$3="","",IFERROR(IF(INDEX(Data_Careers!$V:$V,MATCH($O$3&amp;"|1",Data_Careers!$A:$A,0))="","",IF(INDEX(Data_Careers!$V:$V,MATCH($O$3&amp;"|1",Data_Careers!$A:$A,0))&lt;=N($B$4),"★","L"&amp;INDEX(Data_Careers!$V:$V,MATCH($O$3&amp;"|1",Data_Careers!$A:$A,0)))),""))</f>
        <v/>
      </c>
      <c r="I18" s="15">
        <f>IF($O$3="","",IFERROR(IF(INDEX(Data_Careers!$W:$W,MATCH($O$3&amp;"|1",Data_Careers!$A:$A,0))="","",IF(INDEX(Data_Careers!$W:$W,MATCH($O$3&amp;"|1",Data_Careers!$A:$A,0))&lt;=N($B$4),"★","L"&amp;INDEX(Data_Careers!$W:$W,MATCH($O$3&amp;"|1",Data_Careers!$A:$A,0)))),""))</f>
        <v/>
      </c>
      <c r="J18" s="15">
        <f>IF($O$3="","",IFERROR(IF(INDEX(Data_Careers!$X:$X,MATCH($O$3&amp;"|1",Data_Careers!$A:$A,0))="","",IF(INDEX(Data_Careers!$X:$X,MATCH($O$3&amp;"|1",Data_Careers!$A:$A,0))&lt;=N($B$4),"★","L"&amp;INDEX(Data_Careers!$X:$X,MATCH($O$3&amp;"|1",Data_Careers!$A:$A,0)))),""))</f>
        <v/>
      </c>
      <c r="K18" s="15">
        <f>IF($O$3="","",IFERROR(IF(INDEX(Data_Careers!$Y:$Y,MATCH($O$3&amp;"|1",Data_Careers!$A:$A,0))="","",IF(INDEX(Data_Careers!$Y:$Y,MATCH($O$3&amp;"|1",Data_Careers!$A:$A,0))&lt;=N($B$4),"★","L"&amp;INDEX(Data_Careers!$Y:$Y,MATCH($O$3&amp;"|1",Data_Careers!$A:$A,0)))),""))</f>
        <v/>
      </c>
      <c r="M18" s="3" t="inlineStr">
        <is>
          <t>Career ticks</t>
        </is>
      </c>
      <c r="N18" s="5" t="n"/>
      <c r="O18" s="12" t="n"/>
      <c r="P18" s="13">
        <f>IF(N($B$4)&gt;=4,"top",IF(N($B$4)=0,"",CHOOSE($B$4,10,12,14)))</f>
        <v/>
      </c>
      <c r="Q18" s="14" t="inlineStr">
        <is>
          <t>Ticks needed to reach the next level</t>
        </is>
      </c>
      <c r="R18" s="5" t="n"/>
      <c r="S18" s="5" t="n"/>
    </row>
    <row r="19">
      <c r="A19" s="10" t="inlineStr">
        <is>
          <t>XP spent</t>
        </is>
      </c>
      <c r="B19" s="19">
        <f>IFERROR(2*INDEX(Data_Lists!$AF$2:$AF$17,N(B12)/5+1)-INDEX(Data_Lists!$AF$2:$AF$17,(N(B12)-N(B13))/5+1),"?")</f>
        <v/>
      </c>
      <c r="C19" s="19">
        <f>IFERROR(2*INDEX(Data_Lists!$AF$2:$AF$17,N(C12)/5+1)-INDEX(Data_Lists!$AF$2:$AF$17,(N(C12)-N(C13))/5+1),"?")</f>
        <v/>
      </c>
      <c r="D19" s="19">
        <f>IFERROR(2*INDEX(Data_Lists!$AF$2:$AF$17,N(D12)/5+1)-INDEX(Data_Lists!$AF$2:$AF$17,(N(D12)-N(D13))/5+1),"?")</f>
        <v/>
      </c>
      <c r="E19" s="19">
        <f>IFERROR(2*INDEX(Data_Lists!$AF$2:$AF$17,N(E12)/5+1)-INDEX(Data_Lists!$AF$2:$AF$17,(N(E12)-N(E13))/5+1),"?")</f>
        <v/>
      </c>
      <c r="F19" s="19">
        <f>IFERROR(2*INDEX(Data_Lists!$AF$2:$AF$17,N(F12)/5+1)-INDEX(Data_Lists!$AF$2:$AF$17,(N(F12)-N(F13))/5+1),"?")</f>
        <v/>
      </c>
      <c r="G19" s="19">
        <f>IFERROR(2*INDEX(Data_Lists!$AF$2:$AF$17,N(G12)/5+1)-INDEX(Data_Lists!$AF$2:$AF$17,(N(G12)-N(G13))/5+1),"?")</f>
        <v/>
      </c>
      <c r="H19" s="19">
        <f>IFERROR(2*INDEX(Data_Lists!$AF$2:$AF$17,N(H12)/5+1)-INDEX(Data_Lists!$AF$2:$AF$17,(N(H12)-N(H13))/5+1),"?")</f>
        <v/>
      </c>
      <c r="I19" s="19">
        <f>IFERROR(2*INDEX(Data_Lists!$AF$2:$AF$17,N(I12)/5+1)-INDEX(Data_Lists!$AF$2:$AF$17,(N(I12)-N(I13))/5+1),"?")</f>
        <v/>
      </c>
      <c r="J19" s="19">
        <f>IFERROR(2*INDEX(Data_Lists!$AF$2:$AF$17,N(J12)/5+1)-INDEX(Data_Lists!$AF$2:$AF$17,(N(J12)-N(J13))/5+1),"?")</f>
        <v/>
      </c>
      <c r="K19" s="19">
        <f>IFERROR(2*INDEX(Data_Lists!$AF$2:$AF$17,N(K12)/5+1)-INDEX(Data_Lists!$AF$2:$AF$17,(N(K12)-N(K13))/5+1),"?")</f>
        <v/>
      </c>
    </row>
    <row r="20"/>
    <row r="21">
      <c r="A21" s="7" t="inlineStr">
        <is>
          <t>EXPERIENCE</t>
        </is>
      </c>
    </row>
    <row r="22">
      <c r="A22" s="3" t="inlineStr">
        <is>
          <t>XP earned</t>
        </is>
      </c>
      <c r="B22" s="20" t="n"/>
      <c r="C22" s="3" t="inlineStr">
        <is>
          <t>XP spent</t>
        </is>
      </c>
      <c r="D22" s="5" t="n"/>
      <c r="E22" s="21">
        <f>B23+E23+H23+K23+O23+N(R22)</f>
        <v/>
      </c>
      <c r="F22" s="3" t="inlineStr">
        <is>
          <t>XP available</t>
        </is>
      </c>
      <c r="G22" s="5" t="n"/>
      <c r="H22" s="21">
        <f>N(B22)-E22</f>
        <v/>
      </c>
      <c r="M22" s="3" t="inlineStr">
        <is>
          <t>Other XP spent (endeavours, training…)</t>
        </is>
      </c>
      <c r="N22" s="5" t="n"/>
      <c r="O22" s="5" t="n"/>
      <c r="P22" s="5" t="n"/>
      <c r="Q22" s="5" t="n"/>
      <c r="R22" s="20" t="n">
        <v>0</v>
      </c>
    </row>
    <row r="23">
      <c r="A23" s="3" t="inlineStr">
        <is>
          <t>Characteristics</t>
        </is>
      </c>
      <c r="B23" s="21">
        <f>SUM(B19:K19)</f>
        <v/>
      </c>
      <c r="C23" s="3" t="inlineStr">
        <is>
          <t>Skills</t>
        </is>
      </c>
      <c r="D23" s="5" t="n"/>
      <c r="E23" s="21">
        <f>SUM(H27:H77)</f>
        <v/>
      </c>
      <c r="F23" s="3" t="inlineStr">
        <is>
          <t>Talents</t>
        </is>
      </c>
      <c r="G23" s="5" t="n"/>
      <c r="H23" s="21">
        <f>SUM(R27:R77)</f>
        <v/>
      </c>
      <c r="I23" s="3" t="inlineStr">
        <is>
          <t>Careers</t>
        </is>
      </c>
      <c r="J23" s="5" t="n"/>
      <c r="K23" s="21">
        <f>SUM(I81:I86)</f>
        <v/>
      </c>
      <c r="M23" s="3" t="inlineStr">
        <is>
          <t>Spells &amp; Prayers</t>
        </is>
      </c>
      <c r="N23" s="5" t="n"/>
      <c r="O23" s="21">
        <f>'Spells &amp; Prayers'!$B$4</f>
        <v/>
      </c>
    </row>
    <row r="24"/>
    <row r="25">
      <c r="A25" s="7" t="inlineStr">
        <is>
          <t>SKILLS</t>
        </is>
      </c>
      <c r="M25" s="7" t="inlineStr">
        <is>
          <t>TALENTS</t>
        </is>
      </c>
    </row>
    <row r="26">
      <c r="A26" s="9" t="inlineStr">
        <is>
          <t>Skill</t>
        </is>
      </c>
      <c r="B26" s="9" t="inlineStr">
        <is>
          <t>Char</t>
        </is>
      </c>
      <c r="C26" s="9" t="inlineStr">
        <is>
          <t>Char value</t>
        </is>
      </c>
      <c r="D26" s="9" t="inlineStr">
        <is>
          <t>Starting adv (free)</t>
        </is>
      </c>
      <c r="E26" s="9" t="inlineStr">
        <is>
          <t>Total adv</t>
        </is>
      </c>
      <c r="F26" s="9" t="inlineStr">
        <is>
          <t>…non-career</t>
        </is>
      </c>
      <c r="G26" s="9" t="inlineStr">
        <is>
          <t>Skill value</t>
        </is>
      </c>
      <c r="H26" s="9" t="inlineStr">
        <is>
          <t>XP cost</t>
        </is>
      </c>
      <c r="I26" s="9" t="inlineStr">
        <is>
          <t>Career skill</t>
        </is>
      </c>
      <c r="M26" s="9" t="inlineStr">
        <is>
          <t>Talent</t>
        </is>
      </c>
      <c r="N26" s="5" t="n"/>
      <c r="O26" s="5" t="n"/>
      <c r="P26" s="9" t="inlineStr">
        <is>
          <t>Times taken</t>
        </is>
      </c>
      <c r="Q26" s="9" t="inlineStr">
        <is>
          <t>Bought with XP?</t>
        </is>
      </c>
      <c r="R26" s="9" t="inlineStr">
        <is>
          <t>XP cost</t>
        </is>
      </c>
      <c r="S26" s="9" t="inlineStr">
        <is>
          <t>Career talent</t>
        </is>
      </c>
    </row>
    <row r="27">
      <c r="A27" s="4" t="inlineStr">
        <is>
          <t>Art</t>
        </is>
      </c>
      <c r="B27" s="15">
        <f>IF(A27="","",IFERROR(IFERROR(INDEX(Data_Skills!$C:$C,MATCH(A27,Data_Skills!$A:$A,0))&amp;"",INDEX(Data_Skills!$C:$C,MATCH(TRIM(IFERROR(LEFT(A27,FIND("(",A27)-1),A27)),Data_Skills!$B:$B,0))&amp;""),""))</f>
        <v/>
      </c>
      <c r="C27" s="15">
        <f>IF(B27="","",INDEX($B$16:$K$16,MATCH(B27,$B$10:$K$10,0)))</f>
        <v/>
      </c>
      <c r="D27" s="22" t="n">
        <v>0</v>
      </c>
      <c r="E27" s="11" t="n">
        <v>0</v>
      </c>
      <c r="F27" s="11" t="n">
        <v>0</v>
      </c>
      <c r="G27" s="17">
        <f>IF(OR(A27="",C27=""),"",C27+N(E27))</f>
        <v/>
      </c>
      <c r="H27" s="19">
        <f>IF(A27="","",IFERROR(MAX(0,2*INDEX(Data_Lists!$AG$2:$AG$17,N(E27)/5+1)-INDEX(Data_Lists!$AG$2:$AG$17,N(D27)/5+1)-INDEX(Data_Lists!$AG$2:$AG$17,(N(E27)-N(F27))/5+1)),"?"))</f>
        <v/>
      </c>
      <c r="I27" s="15">
        <f>IF(OR(A27="",$O$3=""),"",IF(OR(ISNUMBER(SEARCH("|"&amp;A27&amp;"|",IFERROR(INDEX(Data_Careers!$J:$J,MATCH($O$3&amp;"|"&amp;$B$4,Data_Careers!$A:$A,0)),""))),ISNUMBER(SEARCH("|"&amp;TRIM(IFERROR(LEFT(A27,FIND("(",A27)-1),A27))&amp;" (any)|",IFERROR(INDEX(Data_Careers!$J:$J,MATCH($O$3&amp;"|"&amp;$B$4,Data_Careers!$A:$A,0)),"")))),"★",""))</f>
        <v/>
      </c>
      <c r="M27" s="4" t="n"/>
      <c r="N27" s="5" t="n"/>
      <c r="O27" s="5" t="n"/>
      <c r="P27" s="11" t="n"/>
      <c r="Q27" s="11" t="n"/>
      <c r="R27" s="19">
        <f>IF(M27="","",IF(Q27="Yes",100*U27,0))</f>
        <v/>
      </c>
      <c r="S27" s="15">
        <f>IF(OR(M27="",$O$3=""),"",IF(OR(ISNUMBER(SEARCH("|"&amp;M27&amp;"|",IFERROR(INDEX(Data_Careers!$K:$K,MATCH($O$3&amp;"|"&amp;$B$4,Data_Careers!$A:$A,0)),""))),ISNUMBER(SEARCH("|"&amp;TRIM(IFERROR(LEFT(M27,FIND("(",M27)-1),M27))&amp;" (any)|",IFERROR(INDEX(Data_Careers!$K:$K,MATCH($O$3&amp;"|"&amp;$B$4,Data_Careers!$A:$A,0)),"")))),"★",""))</f>
        <v/>
      </c>
      <c r="T27">
        <f>IF(M27="","",IFERROR(IFERROR(INDEX(Data_Talents!$D:$D,MATCH(M27,Data_Talents!$A:$A,0))&amp;"",INDEX(Data_Talents!$D:$D,MATCH(TRIM(IFERROR(LEFT(M27,FIND("(",M27)-1),M27)),Data_Talents!$B:$B,0))&amp;""),""))</f>
        <v/>
      </c>
      <c r="U27">
        <f>IF(M27="",0,IF(N(P27)=0,1,N(P27)))</f>
        <v/>
      </c>
    </row>
    <row r="28">
      <c r="A28" s="4" t="inlineStr">
        <is>
          <t>Athletics</t>
        </is>
      </c>
      <c r="B28" s="15">
        <f>IF(A28="","",IFERROR(IFERROR(INDEX(Data_Skills!$C:$C,MATCH(A28,Data_Skills!$A:$A,0))&amp;"",INDEX(Data_Skills!$C:$C,MATCH(TRIM(IFERROR(LEFT(A28,FIND("(",A28)-1),A28)),Data_Skills!$B:$B,0))&amp;""),""))</f>
        <v/>
      </c>
      <c r="C28" s="15">
        <f>IF(B28="","",INDEX($B$16:$K$16,MATCH(B28,$B$10:$K$10,0)))</f>
        <v/>
      </c>
      <c r="D28" s="22" t="n">
        <v>0</v>
      </c>
      <c r="E28" s="11" t="n">
        <v>0</v>
      </c>
      <c r="F28" s="11" t="n">
        <v>0</v>
      </c>
      <c r="G28" s="17">
        <f>IF(OR(A28="",C28=""),"",C28+N(E28))</f>
        <v/>
      </c>
      <c r="H28" s="19">
        <f>IF(A28="","",IFERROR(MAX(0,2*INDEX(Data_Lists!$AG$2:$AG$17,N(E28)/5+1)-INDEX(Data_Lists!$AG$2:$AG$17,N(D28)/5+1)-INDEX(Data_Lists!$AG$2:$AG$17,(N(E28)-N(F28))/5+1)),"?"))</f>
        <v/>
      </c>
      <c r="I28" s="15">
        <f>IF(OR(A28="",$O$3=""),"",IF(OR(ISNUMBER(SEARCH("|"&amp;A28&amp;"|",IFERROR(INDEX(Data_Careers!$J:$J,MATCH($O$3&amp;"|"&amp;$B$4,Data_Careers!$A:$A,0)),""))),ISNUMBER(SEARCH("|"&amp;TRIM(IFERROR(LEFT(A28,FIND("(",A28)-1),A28))&amp;" (any)|",IFERROR(INDEX(Data_Careers!$J:$J,MATCH($O$3&amp;"|"&amp;$B$4,Data_Careers!$A:$A,0)),"")))),"★",""))</f>
        <v/>
      </c>
      <c r="M28" s="4" t="n"/>
      <c r="N28" s="5" t="n"/>
      <c r="O28" s="5" t="n"/>
      <c r="P28" s="11" t="n"/>
      <c r="Q28" s="11" t="n"/>
      <c r="R28" s="19">
        <f>IF(M28="","",IF(Q28="Yes",100*U28,0))</f>
        <v/>
      </c>
      <c r="S28" s="15">
        <f>IF(OR(M28="",$O$3=""),"",IF(OR(ISNUMBER(SEARCH("|"&amp;M28&amp;"|",IFERROR(INDEX(Data_Careers!$K:$K,MATCH($O$3&amp;"|"&amp;$B$4,Data_Careers!$A:$A,0)),""))),ISNUMBER(SEARCH("|"&amp;TRIM(IFERROR(LEFT(M28,FIND("(",M28)-1),M28))&amp;" (any)|",IFERROR(INDEX(Data_Careers!$K:$K,MATCH($O$3&amp;"|"&amp;$B$4,Data_Careers!$A:$A,0)),"")))),"★",""))</f>
        <v/>
      </c>
      <c r="T28">
        <f>IF(M28="","",IFERROR(IFERROR(INDEX(Data_Talents!$D:$D,MATCH(M28,Data_Talents!$A:$A,0))&amp;"",INDEX(Data_Talents!$D:$D,MATCH(TRIM(IFERROR(LEFT(M28,FIND("(",M28)-1),M28)),Data_Talents!$B:$B,0))&amp;""),""))</f>
        <v/>
      </c>
      <c r="U28">
        <f>IF(M28="",0,IF(N(P28)=0,1,N(P28)))</f>
        <v/>
      </c>
    </row>
    <row r="29">
      <c r="A29" s="4" t="inlineStr">
        <is>
          <t>Bribery</t>
        </is>
      </c>
      <c r="B29" s="15">
        <f>IF(A29="","",IFERROR(IFERROR(INDEX(Data_Skills!$C:$C,MATCH(A29,Data_Skills!$A:$A,0))&amp;"",INDEX(Data_Skills!$C:$C,MATCH(TRIM(IFERROR(LEFT(A29,FIND("(",A29)-1),A29)),Data_Skills!$B:$B,0))&amp;""),""))</f>
        <v/>
      </c>
      <c r="C29" s="15">
        <f>IF(B29="","",INDEX($B$16:$K$16,MATCH(B29,$B$10:$K$10,0)))</f>
        <v/>
      </c>
      <c r="D29" s="22" t="n">
        <v>0</v>
      </c>
      <c r="E29" s="11" t="n">
        <v>0</v>
      </c>
      <c r="F29" s="11" t="n">
        <v>0</v>
      </c>
      <c r="G29" s="17">
        <f>IF(OR(A29="",C29=""),"",C29+N(E29))</f>
        <v/>
      </c>
      <c r="H29" s="19">
        <f>IF(A29="","",IFERROR(MAX(0,2*INDEX(Data_Lists!$AG$2:$AG$17,N(E29)/5+1)-INDEX(Data_Lists!$AG$2:$AG$17,N(D29)/5+1)-INDEX(Data_Lists!$AG$2:$AG$17,(N(E29)-N(F29))/5+1)),"?"))</f>
        <v/>
      </c>
      <c r="I29" s="15">
        <f>IF(OR(A29="",$O$3=""),"",IF(OR(ISNUMBER(SEARCH("|"&amp;A29&amp;"|",IFERROR(INDEX(Data_Careers!$J:$J,MATCH($O$3&amp;"|"&amp;$B$4,Data_Careers!$A:$A,0)),""))),ISNUMBER(SEARCH("|"&amp;TRIM(IFERROR(LEFT(A29,FIND("(",A29)-1),A29))&amp;" (any)|",IFERROR(INDEX(Data_Careers!$J:$J,MATCH($O$3&amp;"|"&amp;$B$4,Data_Careers!$A:$A,0)),"")))),"★",""))</f>
        <v/>
      </c>
      <c r="M29" s="4" t="n"/>
      <c r="N29" s="5" t="n"/>
      <c r="O29" s="5" t="n"/>
      <c r="P29" s="11" t="n"/>
      <c r="Q29" s="11" t="n"/>
      <c r="R29" s="19">
        <f>IF(M29="","",IF(Q29="Yes",100*U29,0))</f>
        <v/>
      </c>
      <c r="S29" s="15">
        <f>IF(OR(M29="",$O$3=""),"",IF(OR(ISNUMBER(SEARCH("|"&amp;M29&amp;"|",IFERROR(INDEX(Data_Careers!$K:$K,MATCH($O$3&amp;"|"&amp;$B$4,Data_Careers!$A:$A,0)),""))),ISNUMBER(SEARCH("|"&amp;TRIM(IFERROR(LEFT(M29,FIND("(",M29)-1),M29))&amp;" (any)|",IFERROR(INDEX(Data_Careers!$K:$K,MATCH($O$3&amp;"|"&amp;$B$4,Data_Careers!$A:$A,0)),"")))),"★",""))</f>
        <v/>
      </c>
      <c r="T29">
        <f>IF(M29="","",IFERROR(IFERROR(INDEX(Data_Talents!$D:$D,MATCH(M29,Data_Talents!$A:$A,0))&amp;"",INDEX(Data_Talents!$D:$D,MATCH(TRIM(IFERROR(LEFT(M29,FIND("(",M29)-1),M29)),Data_Talents!$B:$B,0))&amp;""),""))</f>
        <v/>
      </c>
      <c r="U29">
        <f>IF(M29="",0,IF(N(P29)=0,1,N(P29)))</f>
        <v/>
      </c>
    </row>
    <row r="30">
      <c r="A30" s="4" t="inlineStr">
        <is>
          <t>Charm</t>
        </is>
      </c>
      <c r="B30" s="15">
        <f>IF(A30="","",IFERROR(IFERROR(INDEX(Data_Skills!$C:$C,MATCH(A30,Data_Skills!$A:$A,0))&amp;"",INDEX(Data_Skills!$C:$C,MATCH(TRIM(IFERROR(LEFT(A30,FIND("(",A30)-1),A30)),Data_Skills!$B:$B,0))&amp;""),""))</f>
        <v/>
      </c>
      <c r="C30" s="15">
        <f>IF(B30="","",INDEX($B$16:$K$16,MATCH(B30,$B$10:$K$10,0)))</f>
        <v/>
      </c>
      <c r="D30" s="22" t="n">
        <v>0</v>
      </c>
      <c r="E30" s="11" t="n">
        <v>0</v>
      </c>
      <c r="F30" s="11" t="n">
        <v>0</v>
      </c>
      <c r="G30" s="17">
        <f>IF(OR(A30="",C30=""),"",C30+N(E30))</f>
        <v/>
      </c>
      <c r="H30" s="19">
        <f>IF(A30="","",IFERROR(MAX(0,2*INDEX(Data_Lists!$AG$2:$AG$17,N(E30)/5+1)-INDEX(Data_Lists!$AG$2:$AG$17,N(D30)/5+1)-INDEX(Data_Lists!$AG$2:$AG$17,(N(E30)-N(F30))/5+1)),"?"))</f>
        <v/>
      </c>
      <c r="I30" s="15">
        <f>IF(OR(A30="",$O$3=""),"",IF(OR(ISNUMBER(SEARCH("|"&amp;A30&amp;"|",IFERROR(INDEX(Data_Careers!$J:$J,MATCH($O$3&amp;"|"&amp;$B$4,Data_Careers!$A:$A,0)),""))),ISNUMBER(SEARCH("|"&amp;TRIM(IFERROR(LEFT(A30,FIND("(",A30)-1),A30))&amp;" (any)|",IFERROR(INDEX(Data_Careers!$J:$J,MATCH($O$3&amp;"|"&amp;$B$4,Data_Careers!$A:$A,0)),"")))),"★",""))</f>
        <v/>
      </c>
      <c r="M30" s="4" t="n"/>
      <c r="N30" s="5" t="n"/>
      <c r="O30" s="5" t="n"/>
      <c r="P30" s="11" t="n"/>
      <c r="Q30" s="11" t="n"/>
      <c r="R30" s="19">
        <f>IF(M30="","",IF(Q30="Yes",100*U30,0))</f>
        <v/>
      </c>
      <c r="S30" s="15">
        <f>IF(OR(M30="",$O$3=""),"",IF(OR(ISNUMBER(SEARCH("|"&amp;M30&amp;"|",IFERROR(INDEX(Data_Careers!$K:$K,MATCH($O$3&amp;"|"&amp;$B$4,Data_Careers!$A:$A,0)),""))),ISNUMBER(SEARCH("|"&amp;TRIM(IFERROR(LEFT(M30,FIND("(",M30)-1),M30))&amp;" (any)|",IFERROR(INDEX(Data_Careers!$K:$K,MATCH($O$3&amp;"|"&amp;$B$4,Data_Careers!$A:$A,0)),"")))),"★",""))</f>
        <v/>
      </c>
      <c r="T30">
        <f>IF(M30="","",IFERROR(IFERROR(INDEX(Data_Talents!$D:$D,MATCH(M30,Data_Talents!$A:$A,0))&amp;"",INDEX(Data_Talents!$D:$D,MATCH(TRIM(IFERROR(LEFT(M30,FIND("(",M30)-1),M30)),Data_Talents!$B:$B,0))&amp;""),""))</f>
        <v/>
      </c>
      <c r="U30">
        <f>IF(M30="",0,IF(N(P30)=0,1,N(P30)))</f>
        <v/>
      </c>
    </row>
    <row r="31">
      <c r="A31" s="4" t="inlineStr">
        <is>
          <t>Charm Animal</t>
        </is>
      </c>
      <c r="B31" s="15">
        <f>IF(A31="","",IFERROR(IFERROR(INDEX(Data_Skills!$C:$C,MATCH(A31,Data_Skills!$A:$A,0))&amp;"",INDEX(Data_Skills!$C:$C,MATCH(TRIM(IFERROR(LEFT(A31,FIND("(",A31)-1),A31)),Data_Skills!$B:$B,0))&amp;""),""))</f>
        <v/>
      </c>
      <c r="C31" s="15">
        <f>IF(B31="","",INDEX($B$16:$K$16,MATCH(B31,$B$10:$K$10,0)))</f>
        <v/>
      </c>
      <c r="D31" s="22" t="n">
        <v>0</v>
      </c>
      <c r="E31" s="11" t="n">
        <v>0</v>
      </c>
      <c r="F31" s="11" t="n">
        <v>0</v>
      </c>
      <c r="G31" s="17">
        <f>IF(OR(A31="",C31=""),"",C31+N(E31))</f>
        <v/>
      </c>
      <c r="H31" s="19">
        <f>IF(A31="","",IFERROR(MAX(0,2*INDEX(Data_Lists!$AG$2:$AG$17,N(E31)/5+1)-INDEX(Data_Lists!$AG$2:$AG$17,N(D31)/5+1)-INDEX(Data_Lists!$AG$2:$AG$17,(N(E31)-N(F31))/5+1)),"?"))</f>
        <v/>
      </c>
      <c r="I31" s="15">
        <f>IF(OR(A31="",$O$3=""),"",IF(OR(ISNUMBER(SEARCH("|"&amp;A31&amp;"|",IFERROR(INDEX(Data_Careers!$J:$J,MATCH($O$3&amp;"|"&amp;$B$4,Data_Careers!$A:$A,0)),""))),ISNUMBER(SEARCH("|"&amp;TRIM(IFERROR(LEFT(A31,FIND("(",A31)-1),A31))&amp;" (any)|",IFERROR(INDEX(Data_Careers!$J:$J,MATCH($O$3&amp;"|"&amp;$B$4,Data_Careers!$A:$A,0)),"")))),"★",""))</f>
        <v/>
      </c>
      <c r="M31" s="4" t="n"/>
      <c r="N31" s="5" t="n"/>
      <c r="O31" s="5" t="n"/>
      <c r="P31" s="11" t="n"/>
      <c r="Q31" s="11" t="n"/>
      <c r="R31" s="19">
        <f>IF(M31="","",IF(Q31="Yes",100*U31,0))</f>
        <v/>
      </c>
      <c r="S31" s="15">
        <f>IF(OR(M31="",$O$3=""),"",IF(OR(ISNUMBER(SEARCH("|"&amp;M31&amp;"|",IFERROR(INDEX(Data_Careers!$K:$K,MATCH($O$3&amp;"|"&amp;$B$4,Data_Careers!$A:$A,0)),""))),ISNUMBER(SEARCH("|"&amp;TRIM(IFERROR(LEFT(M31,FIND("(",M31)-1),M31))&amp;" (any)|",IFERROR(INDEX(Data_Careers!$K:$K,MATCH($O$3&amp;"|"&amp;$B$4,Data_Careers!$A:$A,0)),"")))),"★",""))</f>
        <v/>
      </c>
      <c r="T31">
        <f>IF(M31="","",IFERROR(IFERROR(INDEX(Data_Talents!$D:$D,MATCH(M31,Data_Talents!$A:$A,0))&amp;"",INDEX(Data_Talents!$D:$D,MATCH(TRIM(IFERROR(LEFT(M31,FIND("(",M31)-1),M31)),Data_Talents!$B:$B,0))&amp;""),""))</f>
        <v/>
      </c>
      <c r="U31">
        <f>IF(M31="",0,IF(N(P31)=0,1,N(P31)))</f>
        <v/>
      </c>
    </row>
    <row r="32">
      <c r="A32" s="4" t="inlineStr">
        <is>
          <t>Climb</t>
        </is>
      </c>
      <c r="B32" s="15">
        <f>IF(A32="","",IFERROR(IFERROR(INDEX(Data_Skills!$C:$C,MATCH(A32,Data_Skills!$A:$A,0))&amp;"",INDEX(Data_Skills!$C:$C,MATCH(TRIM(IFERROR(LEFT(A32,FIND("(",A32)-1),A32)),Data_Skills!$B:$B,0))&amp;""),""))</f>
        <v/>
      </c>
      <c r="C32" s="15">
        <f>IF(B32="","",INDEX($B$16:$K$16,MATCH(B32,$B$10:$K$10,0)))</f>
        <v/>
      </c>
      <c r="D32" s="22" t="n">
        <v>0</v>
      </c>
      <c r="E32" s="11" t="n">
        <v>0</v>
      </c>
      <c r="F32" s="11" t="n">
        <v>0</v>
      </c>
      <c r="G32" s="17">
        <f>IF(OR(A32="",C32=""),"",C32+N(E32))</f>
        <v/>
      </c>
      <c r="H32" s="19">
        <f>IF(A32="","",IFERROR(MAX(0,2*INDEX(Data_Lists!$AG$2:$AG$17,N(E32)/5+1)-INDEX(Data_Lists!$AG$2:$AG$17,N(D32)/5+1)-INDEX(Data_Lists!$AG$2:$AG$17,(N(E32)-N(F32))/5+1)),"?"))</f>
        <v/>
      </c>
      <c r="I32" s="15">
        <f>IF(OR(A32="",$O$3=""),"",IF(OR(ISNUMBER(SEARCH("|"&amp;A32&amp;"|",IFERROR(INDEX(Data_Careers!$J:$J,MATCH($O$3&amp;"|"&amp;$B$4,Data_Careers!$A:$A,0)),""))),ISNUMBER(SEARCH("|"&amp;TRIM(IFERROR(LEFT(A32,FIND("(",A32)-1),A32))&amp;" (any)|",IFERROR(INDEX(Data_Careers!$J:$J,MATCH($O$3&amp;"|"&amp;$B$4,Data_Careers!$A:$A,0)),"")))),"★",""))</f>
        <v/>
      </c>
      <c r="M32" s="4" t="n"/>
      <c r="N32" s="5" t="n"/>
      <c r="O32" s="5" t="n"/>
      <c r="P32" s="11" t="n"/>
      <c r="Q32" s="11" t="n"/>
      <c r="R32" s="19">
        <f>IF(M32="","",IF(Q32="Yes",100*U32,0))</f>
        <v/>
      </c>
      <c r="S32" s="15">
        <f>IF(OR(M32="",$O$3=""),"",IF(OR(ISNUMBER(SEARCH("|"&amp;M32&amp;"|",IFERROR(INDEX(Data_Careers!$K:$K,MATCH($O$3&amp;"|"&amp;$B$4,Data_Careers!$A:$A,0)),""))),ISNUMBER(SEARCH("|"&amp;TRIM(IFERROR(LEFT(M32,FIND("(",M32)-1),M32))&amp;" (any)|",IFERROR(INDEX(Data_Careers!$K:$K,MATCH($O$3&amp;"|"&amp;$B$4,Data_Careers!$A:$A,0)),"")))),"★",""))</f>
        <v/>
      </c>
      <c r="T32">
        <f>IF(M32="","",IFERROR(IFERROR(INDEX(Data_Talents!$D:$D,MATCH(M32,Data_Talents!$A:$A,0))&amp;"",INDEX(Data_Talents!$D:$D,MATCH(TRIM(IFERROR(LEFT(M32,FIND("(",M32)-1),M32)),Data_Talents!$B:$B,0))&amp;""),""))</f>
        <v/>
      </c>
      <c r="U32">
        <f>IF(M32="",0,IF(N(P32)=0,1,N(P32)))</f>
        <v/>
      </c>
    </row>
    <row r="33">
      <c r="A33" s="4" t="inlineStr">
        <is>
          <t>Consume Alcohol</t>
        </is>
      </c>
      <c r="B33" s="15">
        <f>IF(A33="","",IFERROR(IFERROR(INDEX(Data_Skills!$C:$C,MATCH(A33,Data_Skills!$A:$A,0))&amp;"",INDEX(Data_Skills!$C:$C,MATCH(TRIM(IFERROR(LEFT(A33,FIND("(",A33)-1),A33)),Data_Skills!$B:$B,0))&amp;""),""))</f>
        <v/>
      </c>
      <c r="C33" s="15">
        <f>IF(B33="","",INDEX($B$16:$K$16,MATCH(B33,$B$10:$K$10,0)))</f>
        <v/>
      </c>
      <c r="D33" s="22" t="n">
        <v>0</v>
      </c>
      <c r="E33" s="11" t="n">
        <v>0</v>
      </c>
      <c r="F33" s="11" t="n">
        <v>0</v>
      </c>
      <c r="G33" s="17">
        <f>IF(OR(A33="",C33=""),"",C33+N(E33))</f>
        <v/>
      </c>
      <c r="H33" s="19">
        <f>IF(A33="","",IFERROR(MAX(0,2*INDEX(Data_Lists!$AG$2:$AG$17,N(E33)/5+1)-INDEX(Data_Lists!$AG$2:$AG$17,N(D33)/5+1)-INDEX(Data_Lists!$AG$2:$AG$17,(N(E33)-N(F33))/5+1)),"?"))</f>
        <v/>
      </c>
      <c r="I33" s="15">
        <f>IF(OR(A33="",$O$3=""),"",IF(OR(ISNUMBER(SEARCH("|"&amp;A33&amp;"|",IFERROR(INDEX(Data_Careers!$J:$J,MATCH($O$3&amp;"|"&amp;$B$4,Data_Careers!$A:$A,0)),""))),ISNUMBER(SEARCH("|"&amp;TRIM(IFERROR(LEFT(A33,FIND("(",A33)-1),A33))&amp;" (any)|",IFERROR(INDEX(Data_Careers!$J:$J,MATCH($O$3&amp;"|"&amp;$B$4,Data_Careers!$A:$A,0)),"")))),"★",""))</f>
        <v/>
      </c>
      <c r="M33" s="4" t="n"/>
      <c r="N33" s="5" t="n"/>
      <c r="O33" s="5" t="n"/>
      <c r="P33" s="11" t="n"/>
      <c r="Q33" s="11" t="n"/>
      <c r="R33" s="19">
        <f>IF(M33="","",IF(Q33="Yes",100*U33,0))</f>
        <v/>
      </c>
      <c r="S33" s="15">
        <f>IF(OR(M33="",$O$3=""),"",IF(OR(ISNUMBER(SEARCH("|"&amp;M33&amp;"|",IFERROR(INDEX(Data_Careers!$K:$K,MATCH($O$3&amp;"|"&amp;$B$4,Data_Careers!$A:$A,0)),""))),ISNUMBER(SEARCH("|"&amp;TRIM(IFERROR(LEFT(M33,FIND("(",M33)-1),M33))&amp;" (any)|",IFERROR(INDEX(Data_Careers!$K:$K,MATCH($O$3&amp;"|"&amp;$B$4,Data_Careers!$A:$A,0)),"")))),"★",""))</f>
        <v/>
      </c>
      <c r="T33">
        <f>IF(M33="","",IFERROR(IFERROR(INDEX(Data_Talents!$D:$D,MATCH(M33,Data_Talents!$A:$A,0))&amp;"",INDEX(Data_Talents!$D:$D,MATCH(TRIM(IFERROR(LEFT(M33,FIND("(",M33)-1),M33)),Data_Talents!$B:$B,0))&amp;""),""))</f>
        <v/>
      </c>
      <c r="U33">
        <f>IF(M33="",0,IF(N(P33)=0,1,N(P33)))</f>
        <v/>
      </c>
    </row>
    <row r="34">
      <c r="A34" s="4" t="inlineStr">
        <is>
          <t>Cool</t>
        </is>
      </c>
      <c r="B34" s="15">
        <f>IF(A34="","",IFERROR(IFERROR(INDEX(Data_Skills!$C:$C,MATCH(A34,Data_Skills!$A:$A,0))&amp;"",INDEX(Data_Skills!$C:$C,MATCH(TRIM(IFERROR(LEFT(A34,FIND("(",A34)-1),A34)),Data_Skills!$B:$B,0))&amp;""),""))</f>
        <v/>
      </c>
      <c r="C34" s="15">
        <f>IF(B34="","",INDEX($B$16:$K$16,MATCH(B34,$B$10:$K$10,0)))</f>
        <v/>
      </c>
      <c r="D34" s="22" t="n">
        <v>0</v>
      </c>
      <c r="E34" s="11" t="n">
        <v>0</v>
      </c>
      <c r="F34" s="11" t="n">
        <v>0</v>
      </c>
      <c r="G34" s="17">
        <f>IF(OR(A34="",C34=""),"",C34+N(E34))</f>
        <v/>
      </c>
      <c r="H34" s="19">
        <f>IF(A34="","",IFERROR(MAX(0,2*INDEX(Data_Lists!$AG$2:$AG$17,N(E34)/5+1)-INDEX(Data_Lists!$AG$2:$AG$17,N(D34)/5+1)-INDEX(Data_Lists!$AG$2:$AG$17,(N(E34)-N(F34))/5+1)),"?"))</f>
        <v/>
      </c>
      <c r="I34" s="15">
        <f>IF(OR(A34="",$O$3=""),"",IF(OR(ISNUMBER(SEARCH("|"&amp;A34&amp;"|",IFERROR(INDEX(Data_Careers!$J:$J,MATCH($O$3&amp;"|"&amp;$B$4,Data_Careers!$A:$A,0)),""))),ISNUMBER(SEARCH("|"&amp;TRIM(IFERROR(LEFT(A34,FIND("(",A34)-1),A34))&amp;" (any)|",IFERROR(INDEX(Data_Careers!$J:$J,MATCH($O$3&amp;"|"&amp;$B$4,Data_Careers!$A:$A,0)),"")))),"★",""))</f>
        <v/>
      </c>
      <c r="M34" s="4" t="n"/>
      <c r="N34" s="5" t="n"/>
      <c r="O34" s="5" t="n"/>
      <c r="P34" s="11" t="n"/>
      <c r="Q34" s="11" t="n"/>
      <c r="R34" s="19">
        <f>IF(M34="","",IF(Q34="Yes",100*U34,0))</f>
        <v/>
      </c>
      <c r="S34" s="15">
        <f>IF(OR(M34="",$O$3=""),"",IF(OR(ISNUMBER(SEARCH("|"&amp;M34&amp;"|",IFERROR(INDEX(Data_Careers!$K:$K,MATCH($O$3&amp;"|"&amp;$B$4,Data_Careers!$A:$A,0)),""))),ISNUMBER(SEARCH("|"&amp;TRIM(IFERROR(LEFT(M34,FIND("(",M34)-1),M34))&amp;" (any)|",IFERROR(INDEX(Data_Careers!$K:$K,MATCH($O$3&amp;"|"&amp;$B$4,Data_Careers!$A:$A,0)),"")))),"★",""))</f>
        <v/>
      </c>
      <c r="T34">
        <f>IF(M34="","",IFERROR(IFERROR(INDEX(Data_Talents!$D:$D,MATCH(M34,Data_Talents!$A:$A,0))&amp;"",INDEX(Data_Talents!$D:$D,MATCH(TRIM(IFERROR(LEFT(M34,FIND("(",M34)-1),M34)),Data_Talents!$B:$B,0))&amp;""),""))</f>
        <v/>
      </c>
      <c r="U34">
        <f>IF(M34="",0,IF(N(P34)=0,1,N(P34)))</f>
        <v/>
      </c>
    </row>
    <row r="35">
      <c r="A35" s="4" t="inlineStr">
        <is>
          <t>Dodge</t>
        </is>
      </c>
      <c r="B35" s="15">
        <f>IF(A35="","",IFERROR(IFERROR(INDEX(Data_Skills!$C:$C,MATCH(A35,Data_Skills!$A:$A,0))&amp;"",INDEX(Data_Skills!$C:$C,MATCH(TRIM(IFERROR(LEFT(A35,FIND("(",A35)-1),A35)),Data_Skills!$B:$B,0))&amp;""),""))</f>
        <v/>
      </c>
      <c r="C35" s="15">
        <f>IF(B35="","",INDEX($B$16:$K$16,MATCH(B35,$B$10:$K$10,0)))</f>
        <v/>
      </c>
      <c r="D35" s="22" t="n">
        <v>0</v>
      </c>
      <c r="E35" s="11" t="n">
        <v>0</v>
      </c>
      <c r="F35" s="11" t="n">
        <v>0</v>
      </c>
      <c r="G35" s="17">
        <f>IF(OR(A35="",C35=""),"",C35+N(E35))</f>
        <v/>
      </c>
      <c r="H35" s="19">
        <f>IF(A35="","",IFERROR(MAX(0,2*INDEX(Data_Lists!$AG$2:$AG$17,N(E35)/5+1)-INDEX(Data_Lists!$AG$2:$AG$17,N(D35)/5+1)-INDEX(Data_Lists!$AG$2:$AG$17,(N(E35)-N(F35))/5+1)),"?"))</f>
        <v/>
      </c>
      <c r="I35" s="15">
        <f>IF(OR(A35="",$O$3=""),"",IF(OR(ISNUMBER(SEARCH("|"&amp;A35&amp;"|",IFERROR(INDEX(Data_Careers!$J:$J,MATCH($O$3&amp;"|"&amp;$B$4,Data_Careers!$A:$A,0)),""))),ISNUMBER(SEARCH("|"&amp;TRIM(IFERROR(LEFT(A35,FIND("(",A35)-1),A35))&amp;" (any)|",IFERROR(INDEX(Data_Careers!$J:$J,MATCH($O$3&amp;"|"&amp;$B$4,Data_Careers!$A:$A,0)),"")))),"★",""))</f>
        <v/>
      </c>
      <c r="M35" s="4" t="n"/>
      <c r="N35" s="5" t="n"/>
      <c r="O35" s="5" t="n"/>
      <c r="P35" s="11" t="n"/>
      <c r="Q35" s="11" t="n"/>
      <c r="R35" s="19">
        <f>IF(M35="","",IF(Q35="Yes",100*U35,0))</f>
        <v/>
      </c>
      <c r="S35" s="15">
        <f>IF(OR(M35="",$O$3=""),"",IF(OR(ISNUMBER(SEARCH("|"&amp;M35&amp;"|",IFERROR(INDEX(Data_Careers!$K:$K,MATCH($O$3&amp;"|"&amp;$B$4,Data_Careers!$A:$A,0)),""))),ISNUMBER(SEARCH("|"&amp;TRIM(IFERROR(LEFT(M35,FIND("(",M35)-1),M35))&amp;" (any)|",IFERROR(INDEX(Data_Careers!$K:$K,MATCH($O$3&amp;"|"&amp;$B$4,Data_Careers!$A:$A,0)),"")))),"★",""))</f>
        <v/>
      </c>
      <c r="T35">
        <f>IF(M35="","",IFERROR(IFERROR(INDEX(Data_Talents!$D:$D,MATCH(M35,Data_Talents!$A:$A,0))&amp;"",INDEX(Data_Talents!$D:$D,MATCH(TRIM(IFERROR(LEFT(M35,FIND("(",M35)-1),M35)),Data_Talents!$B:$B,0))&amp;""),""))</f>
        <v/>
      </c>
      <c r="U35">
        <f>IF(M35="",0,IF(N(P35)=0,1,N(P35)))</f>
        <v/>
      </c>
    </row>
    <row r="36">
      <c r="A36" s="4" t="inlineStr">
        <is>
          <t>Drive</t>
        </is>
      </c>
      <c r="B36" s="15">
        <f>IF(A36="","",IFERROR(IFERROR(INDEX(Data_Skills!$C:$C,MATCH(A36,Data_Skills!$A:$A,0))&amp;"",INDEX(Data_Skills!$C:$C,MATCH(TRIM(IFERROR(LEFT(A36,FIND("(",A36)-1),A36)),Data_Skills!$B:$B,0))&amp;""),""))</f>
        <v/>
      </c>
      <c r="C36" s="15">
        <f>IF(B36="","",INDEX($B$16:$K$16,MATCH(B36,$B$10:$K$10,0)))</f>
        <v/>
      </c>
      <c r="D36" s="22" t="n">
        <v>0</v>
      </c>
      <c r="E36" s="11" t="n">
        <v>0</v>
      </c>
      <c r="F36" s="11" t="n">
        <v>0</v>
      </c>
      <c r="G36" s="17">
        <f>IF(OR(A36="",C36=""),"",C36+N(E36))</f>
        <v/>
      </c>
      <c r="H36" s="19">
        <f>IF(A36="","",IFERROR(MAX(0,2*INDEX(Data_Lists!$AG$2:$AG$17,N(E36)/5+1)-INDEX(Data_Lists!$AG$2:$AG$17,N(D36)/5+1)-INDEX(Data_Lists!$AG$2:$AG$17,(N(E36)-N(F36))/5+1)),"?"))</f>
        <v/>
      </c>
      <c r="I36" s="15">
        <f>IF(OR(A36="",$O$3=""),"",IF(OR(ISNUMBER(SEARCH("|"&amp;A36&amp;"|",IFERROR(INDEX(Data_Careers!$J:$J,MATCH($O$3&amp;"|"&amp;$B$4,Data_Careers!$A:$A,0)),""))),ISNUMBER(SEARCH("|"&amp;TRIM(IFERROR(LEFT(A36,FIND("(",A36)-1),A36))&amp;" (any)|",IFERROR(INDEX(Data_Careers!$J:$J,MATCH($O$3&amp;"|"&amp;$B$4,Data_Careers!$A:$A,0)),"")))),"★",""))</f>
        <v/>
      </c>
      <c r="M36" s="4" t="n"/>
      <c r="N36" s="5" t="n"/>
      <c r="O36" s="5" t="n"/>
      <c r="P36" s="11" t="n"/>
      <c r="Q36" s="11" t="n"/>
      <c r="R36" s="19">
        <f>IF(M36="","",IF(Q36="Yes",100*U36,0))</f>
        <v/>
      </c>
      <c r="S36" s="15">
        <f>IF(OR(M36="",$O$3=""),"",IF(OR(ISNUMBER(SEARCH("|"&amp;M36&amp;"|",IFERROR(INDEX(Data_Careers!$K:$K,MATCH($O$3&amp;"|"&amp;$B$4,Data_Careers!$A:$A,0)),""))),ISNUMBER(SEARCH("|"&amp;TRIM(IFERROR(LEFT(M36,FIND("(",M36)-1),M36))&amp;" (any)|",IFERROR(INDEX(Data_Careers!$K:$K,MATCH($O$3&amp;"|"&amp;$B$4,Data_Careers!$A:$A,0)),"")))),"★",""))</f>
        <v/>
      </c>
      <c r="T36">
        <f>IF(M36="","",IFERROR(IFERROR(INDEX(Data_Talents!$D:$D,MATCH(M36,Data_Talents!$A:$A,0))&amp;"",INDEX(Data_Talents!$D:$D,MATCH(TRIM(IFERROR(LEFT(M36,FIND("(",M36)-1),M36)),Data_Talents!$B:$B,0))&amp;""),""))</f>
        <v/>
      </c>
      <c r="U36">
        <f>IF(M36="",0,IF(N(P36)=0,1,N(P36)))</f>
        <v/>
      </c>
    </row>
    <row r="37">
      <c r="A37" s="4" t="inlineStr">
        <is>
          <t>Endurance</t>
        </is>
      </c>
      <c r="B37" s="15">
        <f>IF(A37="","",IFERROR(IFERROR(INDEX(Data_Skills!$C:$C,MATCH(A37,Data_Skills!$A:$A,0))&amp;"",INDEX(Data_Skills!$C:$C,MATCH(TRIM(IFERROR(LEFT(A37,FIND("(",A37)-1),A37)),Data_Skills!$B:$B,0))&amp;""),""))</f>
        <v/>
      </c>
      <c r="C37" s="15">
        <f>IF(B37="","",INDEX($B$16:$K$16,MATCH(B37,$B$10:$K$10,0)))</f>
        <v/>
      </c>
      <c r="D37" s="22" t="n">
        <v>0</v>
      </c>
      <c r="E37" s="11" t="n">
        <v>0</v>
      </c>
      <c r="F37" s="11" t="n">
        <v>0</v>
      </c>
      <c r="G37" s="17">
        <f>IF(OR(A37="",C37=""),"",C37+N(E37))</f>
        <v/>
      </c>
      <c r="H37" s="19">
        <f>IF(A37="","",IFERROR(MAX(0,2*INDEX(Data_Lists!$AG$2:$AG$17,N(E37)/5+1)-INDEX(Data_Lists!$AG$2:$AG$17,N(D37)/5+1)-INDEX(Data_Lists!$AG$2:$AG$17,(N(E37)-N(F37))/5+1)),"?"))</f>
        <v/>
      </c>
      <c r="I37" s="15">
        <f>IF(OR(A37="",$O$3=""),"",IF(OR(ISNUMBER(SEARCH("|"&amp;A37&amp;"|",IFERROR(INDEX(Data_Careers!$J:$J,MATCH($O$3&amp;"|"&amp;$B$4,Data_Careers!$A:$A,0)),""))),ISNUMBER(SEARCH("|"&amp;TRIM(IFERROR(LEFT(A37,FIND("(",A37)-1),A37))&amp;" (any)|",IFERROR(INDEX(Data_Careers!$J:$J,MATCH($O$3&amp;"|"&amp;$B$4,Data_Careers!$A:$A,0)),"")))),"★",""))</f>
        <v/>
      </c>
      <c r="M37" s="4" t="n"/>
      <c r="N37" s="5" t="n"/>
      <c r="O37" s="5" t="n"/>
      <c r="P37" s="11" t="n"/>
      <c r="Q37" s="11" t="n"/>
      <c r="R37" s="19">
        <f>IF(M37="","",IF(Q37="Yes",100*U37,0))</f>
        <v/>
      </c>
      <c r="S37" s="15">
        <f>IF(OR(M37="",$O$3=""),"",IF(OR(ISNUMBER(SEARCH("|"&amp;M37&amp;"|",IFERROR(INDEX(Data_Careers!$K:$K,MATCH($O$3&amp;"|"&amp;$B$4,Data_Careers!$A:$A,0)),""))),ISNUMBER(SEARCH("|"&amp;TRIM(IFERROR(LEFT(M37,FIND("(",M37)-1),M37))&amp;" (any)|",IFERROR(INDEX(Data_Careers!$K:$K,MATCH($O$3&amp;"|"&amp;$B$4,Data_Careers!$A:$A,0)),"")))),"★",""))</f>
        <v/>
      </c>
      <c r="T37">
        <f>IF(M37="","",IFERROR(IFERROR(INDEX(Data_Talents!$D:$D,MATCH(M37,Data_Talents!$A:$A,0))&amp;"",INDEX(Data_Talents!$D:$D,MATCH(TRIM(IFERROR(LEFT(M37,FIND("(",M37)-1),M37)),Data_Talents!$B:$B,0))&amp;""),""))</f>
        <v/>
      </c>
      <c r="U37">
        <f>IF(M37="",0,IF(N(P37)=0,1,N(P37)))</f>
        <v/>
      </c>
    </row>
    <row r="38">
      <c r="A38" s="4" t="inlineStr">
        <is>
          <t>Entertain</t>
        </is>
      </c>
      <c r="B38" s="15">
        <f>IF(A38="","",IFERROR(IFERROR(INDEX(Data_Skills!$C:$C,MATCH(A38,Data_Skills!$A:$A,0))&amp;"",INDEX(Data_Skills!$C:$C,MATCH(TRIM(IFERROR(LEFT(A38,FIND("(",A38)-1),A38)),Data_Skills!$B:$B,0))&amp;""),""))</f>
        <v/>
      </c>
      <c r="C38" s="15">
        <f>IF(B38="","",INDEX($B$16:$K$16,MATCH(B38,$B$10:$K$10,0)))</f>
        <v/>
      </c>
      <c r="D38" s="22" t="n">
        <v>0</v>
      </c>
      <c r="E38" s="11" t="n">
        <v>0</v>
      </c>
      <c r="F38" s="11" t="n">
        <v>0</v>
      </c>
      <c r="G38" s="17">
        <f>IF(OR(A38="",C38=""),"",C38+N(E38))</f>
        <v/>
      </c>
      <c r="H38" s="19">
        <f>IF(A38="","",IFERROR(MAX(0,2*INDEX(Data_Lists!$AG$2:$AG$17,N(E38)/5+1)-INDEX(Data_Lists!$AG$2:$AG$17,N(D38)/5+1)-INDEX(Data_Lists!$AG$2:$AG$17,(N(E38)-N(F38))/5+1)),"?"))</f>
        <v/>
      </c>
      <c r="I38" s="15">
        <f>IF(OR(A38="",$O$3=""),"",IF(OR(ISNUMBER(SEARCH("|"&amp;A38&amp;"|",IFERROR(INDEX(Data_Careers!$J:$J,MATCH($O$3&amp;"|"&amp;$B$4,Data_Careers!$A:$A,0)),""))),ISNUMBER(SEARCH("|"&amp;TRIM(IFERROR(LEFT(A38,FIND("(",A38)-1),A38))&amp;" (any)|",IFERROR(INDEX(Data_Careers!$J:$J,MATCH($O$3&amp;"|"&amp;$B$4,Data_Careers!$A:$A,0)),"")))),"★",""))</f>
        <v/>
      </c>
      <c r="M38" s="4" t="n"/>
      <c r="N38" s="5" t="n"/>
      <c r="O38" s="5" t="n"/>
      <c r="P38" s="11" t="n"/>
      <c r="Q38" s="11" t="n"/>
      <c r="R38" s="19">
        <f>IF(M38="","",IF(Q38="Yes",100*U38,0))</f>
        <v/>
      </c>
      <c r="S38" s="15">
        <f>IF(OR(M38="",$O$3=""),"",IF(OR(ISNUMBER(SEARCH("|"&amp;M38&amp;"|",IFERROR(INDEX(Data_Careers!$K:$K,MATCH($O$3&amp;"|"&amp;$B$4,Data_Careers!$A:$A,0)),""))),ISNUMBER(SEARCH("|"&amp;TRIM(IFERROR(LEFT(M38,FIND("(",M38)-1),M38))&amp;" (any)|",IFERROR(INDEX(Data_Careers!$K:$K,MATCH($O$3&amp;"|"&amp;$B$4,Data_Careers!$A:$A,0)),"")))),"★",""))</f>
        <v/>
      </c>
      <c r="T38">
        <f>IF(M38="","",IFERROR(IFERROR(INDEX(Data_Talents!$D:$D,MATCH(M38,Data_Talents!$A:$A,0))&amp;"",INDEX(Data_Talents!$D:$D,MATCH(TRIM(IFERROR(LEFT(M38,FIND("(",M38)-1),M38)),Data_Talents!$B:$B,0))&amp;""),""))</f>
        <v/>
      </c>
      <c r="U38">
        <f>IF(M38="",0,IF(N(P38)=0,1,N(P38)))</f>
        <v/>
      </c>
    </row>
    <row r="39">
      <c r="A39" s="4" t="inlineStr">
        <is>
          <t>Gamble</t>
        </is>
      </c>
      <c r="B39" s="15">
        <f>IF(A39="","",IFERROR(IFERROR(INDEX(Data_Skills!$C:$C,MATCH(A39,Data_Skills!$A:$A,0))&amp;"",INDEX(Data_Skills!$C:$C,MATCH(TRIM(IFERROR(LEFT(A39,FIND("(",A39)-1),A39)),Data_Skills!$B:$B,0))&amp;""),""))</f>
        <v/>
      </c>
      <c r="C39" s="15">
        <f>IF(B39="","",INDEX($B$16:$K$16,MATCH(B39,$B$10:$K$10,0)))</f>
        <v/>
      </c>
      <c r="D39" s="22" t="n">
        <v>0</v>
      </c>
      <c r="E39" s="11" t="n">
        <v>0</v>
      </c>
      <c r="F39" s="11" t="n">
        <v>0</v>
      </c>
      <c r="G39" s="17">
        <f>IF(OR(A39="",C39=""),"",C39+N(E39))</f>
        <v/>
      </c>
      <c r="H39" s="19">
        <f>IF(A39="","",IFERROR(MAX(0,2*INDEX(Data_Lists!$AG$2:$AG$17,N(E39)/5+1)-INDEX(Data_Lists!$AG$2:$AG$17,N(D39)/5+1)-INDEX(Data_Lists!$AG$2:$AG$17,(N(E39)-N(F39))/5+1)),"?"))</f>
        <v/>
      </c>
      <c r="I39" s="15">
        <f>IF(OR(A39="",$O$3=""),"",IF(OR(ISNUMBER(SEARCH("|"&amp;A39&amp;"|",IFERROR(INDEX(Data_Careers!$J:$J,MATCH($O$3&amp;"|"&amp;$B$4,Data_Careers!$A:$A,0)),""))),ISNUMBER(SEARCH("|"&amp;TRIM(IFERROR(LEFT(A39,FIND("(",A39)-1),A39))&amp;" (any)|",IFERROR(INDEX(Data_Careers!$J:$J,MATCH($O$3&amp;"|"&amp;$B$4,Data_Careers!$A:$A,0)),"")))),"★",""))</f>
        <v/>
      </c>
      <c r="M39" s="4" t="n"/>
      <c r="N39" s="5" t="n"/>
      <c r="O39" s="5" t="n"/>
      <c r="P39" s="11" t="n"/>
      <c r="Q39" s="11" t="n"/>
      <c r="R39" s="19">
        <f>IF(M39="","",IF(Q39="Yes",100*U39,0))</f>
        <v/>
      </c>
      <c r="S39" s="15">
        <f>IF(OR(M39="",$O$3=""),"",IF(OR(ISNUMBER(SEARCH("|"&amp;M39&amp;"|",IFERROR(INDEX(Data_Careers!$K:$K,MATCH($O$3&amp;"|"&amp;$B$4,Data_Careers!$A:$A,0)),""))),ISNUMBER(SEARCH("|"&amp;TRIM(IFERROR(LEFT(M39,FIND("(",M39)-1),M39))&amp;" (any)|",IFERROR(INDEX(Data_Careers!$K:$K,MATCH($O$3&amp;"|"&amp;$B$4,Data_Careers!$A:$A,0)),"")))),"★",""))</f>
        <v/>
      </c>
      <c r="T39">
        <f>IF(M39="","",IFERROR(IFERROR(INDEX(Data_Talents!$D:$D,MATCH(M39,Data_Talents!$A:$A,0))&amp;"",INDEX(Data_Talents!$D:$D,MATCH(TRIM(IFERROR(LEFT(M39,FIND("(",M39)-1),M39)),Data_Talents!$B:$B,0))&amp;""),""))</f>
        <v/>
      </c>
      <c r="U39">
        <f>IF(M39="",0,IF(N(P39)=0,1,N(P39)))</f>
        <v/>
      </c>
    </row>
    <row r="40">
      <c r="A40" s="4" t="inlineStr">
        <is>
          <t>Gossip</t>
        </is>
      </c>
      <c r="B40" s="15">
        <f>IF(A40="","",IFERROR(IFERROR(INDEX(Data_Skills!$C:$C,MATCH(A40,Data_Skills!$A:$A,0))&amp;"",INDEX(Data_Skills!$C:$C,MATCH(TRIM(IFERROR(LEFT(A40,FIND("(",A40)-1),A40)),Data_Skills!$B:$B,0))&amp;""),""))</f>
        <v/>
      </c>
      <c r="C40" s="15">
        <f>IF(B40="","",INDEX($B$16:$K$16,MATCH(B40,$B$10:$K$10,0)))</f>
        <v/>
      </c>
      <c r="D40" s="22" t="n">
        <v>0</v>
      </c>
      <c r="E40" s="11" t="n">
        <v>0</v>
      </c>
      <c r="F40" s="11" t="n">
        <v>0</v>
      </c>
      <c r="G40" s="17">
        <f>IF(OR(A40="",C40=""),"",C40+N(E40))</f>
        <v/>
      </c>
      <c r="H40" s="19">
        <f>IF(A40="","",IFERROR(MAX(0,2*INDEX(Data_Lists!$AG$2:$AG$17,N(E40)/5+1)-INDEX(Data_Lists!$AG$2:$AG$17,N(D40)/5+1)-INDEX(Data_Lists!$AG$2:$AG$17,(N(E40)-N(F40))/5+1)),"?"))</f>
        <v/>
      </c>
      <c r="I40" s="15">
        <f>IF(OR(A40="",$O$3=""),"",IF(OR(ISNUMBER(SEARCH("|"&amp;A40&amp;"|",IFERROR(INDEX(Data_Careers!$J:$J,MATCH($O$3&amp;"|"&amp;$B$4,Data_Careers!$A:$A,0)),""))),ISNUMBER(SEARCH("|"&amp;TRIM(IFERROR(LEFT(A40,FIND("(",A40)-1),A40))&amp;" (any)|",IFERROR(INDEX(Data_Careers!$J:$J,MATCH($O$3&amp;"|"&amp;$B$4,Data_Careers!$A:$A,0)),"")))),"★",""))</f>
        <v/>
      </c>
      <c r="M40" s="4" t="n"/>
      <c r="N40" s="5" t="n"/>
      <c r="O40" s="5" t="n"/>
      <c r="P40" s="11" t="n"/>
      <c r="Q40" s="11" t="n"/>
      <c r="R40" s="19">
        <f>IF(M40="","",IF(Q40="Yes",100*U40,0))</f>
        <v/>
      </c>
      <c r="S40" s="15">
        <f>IF(OR(M40="",$O$3=""),"",IF(OR(ISNUMBER(SEARCH("|"&amp;M40&amp;"|",IFERROR(INDEX(Data_Careers!$K:$K,MATCH($O$3&amp;"|"&amp;$B$4,Data_Careers!$A:$A,0)),""))),ISNUMBER(SEARCH("|"&amp;TRIM(IFERROR(LEFT(M40,FIND("(",M40)-1),M40))&amp;" (any)|",IFERROR(INDEX(Data_Careers!$K:$K,MATCH($O$3&amp;"|"&amp;$B$4,Data_Careers!$A:$A,0)),"")))),"★",""))</f>
        <v/>
      </c>
      <c r="T40">
        <f>IF(M40="","",IFERROR(IFERROR(INDEX(Data_Talents!$D:$D,MATCH(M40,Data_Talents!$A:$A,0))&amp;"",INDEX(Data_Talents!$D:$D,MATCH(TRIM(IFERROR(LEFT(M40,FIND("(",M40)-1),M40)),Data_Talents!$B:$B,0))&amp;""),""))</f>
        <v/>
      </c>
      <c r="U40">
        <f>IF(M40="",0,IF(N(P40)=0,1,N(P40)))</f>
        <v/>
      </c>
    </row>
    <row r="41">
      <c r="A41" s="4" t="inlineStr">
        <is>
          <t>Haggle</t>
        </is>
      </c>
      <c r="B41" s="15">
        <f>IF(A41="","",IFERROR(IFERROR(INDEX(Data_Skills!$C:$C,MATCH(A41,Data_Skills!$A:$A,0))&amp;"",INDEX(Data_Skills!$C:$C,MATCH(TRIM(IFERROR(LEFT(A41,FIND("(",A41)-1),A41)),Data_Skills!$B:$B,0))&amp;""),""))</f>
        <v/>
      </c>
      <c r="C41" s="15">
        <f>IF(B41="","",INDEX($B$16:$K$16,MATCH(B41,$B$10:$K$10,0)))</f>
        <v/>
      </c>
      <c r="D41" s="22" t="n">
        <v>0</v>
      </c>
      <c r="E41" s="11" t="n">
        <v>0</v>
      </c>
      <c r="F41" s="11" t="n">
        <v>0</v>
      </c>
      <c r="G41" s="17">
        <f>IF(OR(A41="",C41=""),"",C41+N(E41))</f>
        <v/>
      </c>
      <c r="H41" s="19">
        <f>IF(A41="","",IFERROR(MAX(0,2*INDEX(Data_Lists!$AG$2:$AG$17,N(E41)/5+1)-INDEX(Data_Lists!$AG$2:$AG$17,N(D41)/5+1)-INDEX(Data_Lists!$AG$2:$AG$17,(N(E41)-N(F41))/5+1)),"?"))</f>
        <v/>
      </c>
      <c r="I41" s="15">
        <f>IF(OR(A41="",$O$3=""),"",IF(OR(ISNUMBER(SEARCH("|"&amp;A41&amp;"|",IFERROR(INDEX(Data_Careers!$J:$J,MATCH($O$3&amp;"|"&amp;$B$4,Data_Careers!$A:$A,0)),""))),ISNUMBER(SEARCH("|"&amp;TRIM(IFERROR(LEFT(A41,FIND("(",A41)-1),A41))&amp;" (any)|",IFERROR(INDEX(Data_Careers!$J:$J,MATCH($O$3&amp;"|"&amp;$B$4,Data_Careers!$A:$A,0)),"")))),"★",""))</f>
        <v/>
      </c>
      <c r="M41" s="4" t="n"/>
      <c r="N41" s="5" t="n"/>
      <c r="O41" s="5" t="n"/>
      <c r="P41" s="11" t="n"/>
      <c r="Q41" s="11" t="n"/>
      <c r="R41" s="19">
        <f>IF(M41="","",IF(Q41="Yes",100*U41,0))</f>
        <v/>
      </c>
      <c r="S41" s="15">
        <f>IF(OR(M41="",$O$3=""),"",IF(OR(ISNUMBER(SEARCH("|"&amp;M41&amp;"|",IFERROR(INDEX(Data_Careers!$K:$K,MATCH($O$3&amp;"|"&amp;$B$4,Data_Careers!$A:$A,0)),""))),ISNUMBER(SEARCH("|"&amp;TRIM(IFERROR(LEFT(M41,FIND("(",M41)-1),M41))&amp;" (any)|",IFERROR(INDEX(Data_Careers!$K:$K,MATCH($O$3&amp;"|"&amp;$B$4,Data_Careers!$A:$A,0)),"")))),"★",""))</f>
        <v/>
      </c>
      <c r="T41">
        <f>IF(M41="","",IFERROR(IFERROR(INDEX(Data_Talents!$D:$D,MATCH(M41,Data_Talents!$A:$A,0))&amp;"",INDEX(Data_Talents!$D:$D,MATCH(TRIM(IFERROR(LEFT(M41,FIND("(",M41)-1),M41)),Data_Talents!$B:$B,0))&amp;""),""))</f>
        <v/>
      </c>
      <c r="U41">
        <f>IF(M41="",0,IF(N(P41)=0,1,N(P41)))</f>
        <v/>
      </c>
    </row>
    <row r="42">
      <c r="A42" s="4" t="inlineStr">
        <is>
          <t>Intimidate</t>
        </is>
      </c>
      <c r="B42" s="15">
        <f>IF(A42="","",IFERROR(IFERROR(INDEX(Data_Skills!$C:$C,MATCH(A42,Data_Skills!$A:$A,0))&amp;"",INDEX(Data_Skills!$C:$C,MATCH(TRIM(IFERROR(LEFT(A42,FIND("(",A42)-1),A42)),Data_Skills!$B:$B,0))&amp;""),""))</f>
        <v/>
      </c>
      <c r="C42" s="15">
        <f>IF(B42="","",INDEX($B$16:$K$16,MATCH(B42,$B$10:$K$10,0)))</f>
        <v/>
      </c>
      <c r="D42" s="22" t="n">
        <v>0</v>
      </c>
      <c r="E42" s="11" t="n">
        <v>0</v>
      </c>
      <c r="F42" s="11" t="n">
        <v>0</v>
      </c>
      <c r="G42" s="17">
        <f>IF(OR(A42="",C42=""),"",C42+N(E42))</f>
        <v/>
      </c>
      <c r="H42" s="19">
        <f>IF(A42="","",IFERROR(MAX(0,2*INDEX(Data_Lists!$AG$2:$AG$17,N(E42)/5+1)-INDEX(Data_Lists!$AG$2:$AG$17,N(D42)/5+1)-INDEX(Data_Lists!$AG$2:$AG$17,(N(E42)-N(F42))/5+1)),"?"))</f>
        <v/>
      </c>
      <c r="I42" s="15">
        <f>IF(OR(A42="",$O$3=""),"",IF(OR(ISNUMBER(SEARCH("|"&amp;A42&amp;"|",IFERROR(INDEX(Data_Careers!$J:$J,MATCH($O$3&amp;"|"&amp;$B$4,Data_Careers!$A:$A,0)),""))),ISNUMBER(SEARCH("|"&amp;TRIM(IFERROR(LEFT(A42,FIND("(",A42)-1),A42))&amp;" (any)|",IFERROR(INDEX(Data_Careers!$J:$J,MATCH($O$3&amp;"|"&amp;$B$4,Data_Careers!$A:$A,0)),"")))),"★",""))</f>
        <v/>
      </c>
      <c r="M42" s="4" t="n"/>
      <c r="N42" s="5" t="n"/>
      <c r="O42" s="5" t="n"/>
      <c r="P42" s="11" t="n"/>
      <c r="Q42" s="11" t="n"/>
      <c r="R42" s="19">
        <f>IF(M42="","",IF(Q42="Yes",100*U42,0))</f>
        <v/>
      </c>
      <c r="S42" s="15">
        <f>IF(OR(M42="",$O$3=""),"",IF(OR(ISNUMBER(SEARCH("|"&amp;M42&amp;"|",IFERROR(INDEX(Data_Careers!$K:$K,MATCH($O$3&amp;"|"&amp;$B$4,Data_Careers!$A:$A,0)),""))),ISNUMBER(SEARCH("|"&amp;TRIM(IFERROR(LEFT(M42,FIND("(",M42)-1),M42))&amp;" (any)|",IFERROR(INDEX(Data_Careers!$K:$K,MATCH($O$3&amp;"|"&amp;$B$4,Data_Careers!$A:$A,0)),"")))),"★",""))</f>
        <v/>
      </c>
      <c r="T42">
        <f>IF(M42="","",IFERROR(IFERROR(INDEX(Data_Talents!$D:$D,MATCH(M42,Data_Talents!$A:$A,0))&amp;"",INDEX(Data_Talents!$D:$D,MATCH(TRIM(IFERROR(LEFT(M42,FIND("(",M42)-1),M42)),Data_Talents!$B:$B,0))&amp;""),""))</f>
        <v/>
      </c>
      <c r="U42">
        <f>IF(M42="",0,IF(N(P42)=0,1,N(P42)))</f>
        <v/>
      </c>
    </row>
    <row r="43">
      <c r="A43" s="4" t="inlineStr">
        <is>
          <t>Intuition</t>
        </is>
      </c>
      <c r="B43" s="15">
        <f>IF(A43="","",IFERROR(IFERROR(INDEX(Data_Skills!$C:$C,MATCH(A43,Data_Skills!$A:$A,0))&amp;"",INDEX(Data_Skills!$C:$C,MATCH(TRIM(IFERROR(LEFT(A43,FIND("(",A43)-1),A43)),Data_Skills!$B:$B,0))&amp;""),""))</f>
        <v/>
      </c>
      <c r="C43" s="15">
        <f>IF(B43="","",INDEX($B$16:$K$16,MATCH(B43,$B$10:$K$10,0)))</f>
        <v/>
      </c>
      <c r="D43" s="22" t="n">
        <v>0</v>
      </c>
      <c r="E43" s="11" t="n">
        <v>0</v>
      </c>
      <c r="F43" s="11" t="n">
        <v>0</v>
      </c>
      <c r="G43" s="17">
        <f>IF(OR(A43="",C43=""),"",C43+N(E43))</f>
        <v/>
      </c>
      <c r="H43" s="19">
        <f>IF(A43="","",IFERROR(MAX(0,2*INDEX(Data_Lists!$AG$2:$AG$17,N(E43)/5+1)-INDEX(Data_Lists!$AG$2:$AG$17,N(D43)/5+1)-INDEX(Data_Lists!$AG$2:$AG$17,(N(E43)-N(F43))/5+1)),"?"))</f>
        <v/>
      </c>
      <c r="I43" s="15">
        <f>IF(OR(A43="",$O$3=""),"",IF(OR(ISNUMBER(SEARCH("|"&amp;A43&amp;"|",IFERROR(INDEX(Data_Careers!$J:$J,MATCH($O$3&amp;"|"&amp;$B$4,Data_Careers!$A:$A,0)),""))),ISNUMBER(SEARCH("|"&amp;TRIM(IFERROR(LEFT(A43,FIND("(",A43)-1),A43))&amp;" (any)|",IFERROR(INDEX(Data_Careers!$J:$J,MATCH($O$3&amp;"|"&amp;$B$4,Data_Careers!$A:$A,0)),"")))),"★",""))</f>
        <v/>
      </c>
      <c r="M43" s="4" t="n"/>
      <c r="N43" s="5" t="n"/>
      <c r="O43" s="5" t="n"/>
      <c r="P43" s="11" t="n"/>
      <c r="Q43" s="11" t="n"/>
      <c r="R43" s="19">
        <f>IF(M43="","",IF(Q43="Yes",100*U43,0))</f>
        <v/>
      </c>
      <c r="S43" s="15">
        <f>IF(OR(M43="",$O$3=""),"",IF(OR(ISNUMBER(SEARCH("|"&amp;M43&amp;"|",IFERROR(INDEX(Data_Careers!$K:$K,MATCH($O$3&amp;"|"&amp;$B$4,Data_Careers!$A:$A,0)),""))),ISNUMBER(SEARCH("|"&amp;TRIM(IFERROR(LEFT(M43,FIND("(",M43)-1),M43))&amp;" (any)|",IFERROR(INDEX(Data_Careers!$K:$K,MATCH($O$3&amp;"|"&amp;$B$4,Data_Careers!$A:$A,0)),"")))),"★",""))</f>
        <v/>
      </c>
      <c r="T43">
        <f>IF(M43="","",IFERROR(IFERROR(INDEX(Data_Talents!$D:$D,MATCH(M43,Data_Talents!$A:$A,0))&amp;"",INDEX(Data_Talents!$D:$D,MATCH(TRIM(IFERROR(LEFT(M43,FIND("(",M43)-1),M43)),Data_Talents!$B:$B,0))&amp;""),""))</f>
        <v/>
      </c>
      <c r="U43">
        <f>IF(M43="",0,IF(N(P43)=0,1,N(P43)))</f>
        <v/>
      </c>
    </row>
    <row r="44">
      <c r="A44" s="4" t="inlineStr">
        <is>
          <t>Leadership</t>
        </is>
      </c>
      <c r="B44" s="15">
        <f>IF(A44="","",IFERROR(IFERROR(INDEX(Data_Skills!$C:$C,MATCH(A44,Data_Skills!$A:$A,0))&amp;"",INDEX(Data_Skills!$C:$C,MATCH(TRIM(IFERROR(LEFT(A44,FIND("(",A44)-1),A44)),Data_Skills!$B:$B,0))&amp;""),""))</f>
        <v/>
      </c>
      <c r="C44" s="15">
        <f>IF(B44="","",INDEX($B$16:$K$16,MATCH(B44,$B$10:$K$10,0)))</f>
        <v/>
      </c>
      <c r="D44" s="22" t="n">
        <v>0</v>
      </c>
      <c r="E44" s="11" t="n">
        <v>0</v>
      </c>
      <c r="F44" s="11" t="n">
        <v>0</v>
      </c>
      <c r="G44" s="17">
        <f>IF(OR(A44="",C44=""),"",C44+N(E44))</f>
        <v/>
      </c>
      <c r="H44" s="19">
        <f>IF(A44="","",IFERROR(MAX(0,2*INDEX(Data_Lists!$AG$2:$AG$17,N(E44)/5+1)-INDEX(Data_Lists!$AG$2:$AG$17,N(D44)/5+1)-INDEX(Data_Lists!$AG$2:$AG$17,(N(E44)-N(F44))/5+1)),"?"))</f>
        <v/>
      </c>
      <c r="I44" s="15">
        <f>IF(OR(A44="",$O$3=""),"",IF(OR(ISNUMBER(SEARCH("|"&amp;A44&amp;"|",IFERROR(INDEX(Data_Careers!$J:$J,MATCH($O$3&amp;"|"&amp;$B$4,Data_Careers!$A:$A,0)),""))),ISNUMBER(SEARCH("|"&amp;TRIM(IFERROR(LEFT(A44,FIND("(",A44)-1),A44))&amp;" (any)|",IFERROR(INDEX(Data_Careers!$J:$J,MATCH($O$3&amp;"|"&amp;$B$4,Data_Careers!$A:$A,0)),"")))),"★",""))</f>
        <v/>
      </c>
      <c r="M44" s="4" t="n"/>
      <c r="N44" s="5" t="n"/>
      <c r="O44" s="5" t="n"/>
      <c r="P44" s="11" t="n"/>
      <c r="Q44" s="11" t="n"/>
      <c r="R44" s="19">
        <f>IF(M44="","",IF(Q44="Yes",100*U44,0))</f>
        <v/>
      </c>
      <c r="S44" s="15">
        <f>IF(OR(M44="",$O$3=""),"",IF(OR(ISNUMBER(SEARCH("|"&amp;M44&amp;"|",IFERROR(INDEX(Data_Careers!$K:$K,MATCH($O$3&amp;"|"&amp;$B$4,Data_Careers!$A:$A,0)),""))),ISNUMBER(SEARCH("|"&amp;TRIM(IFERROR(LEFT(M44,FIND("(",M44)-1),M44))&amp;" (any)|",IFERROR(INDEX(Data_Careers!$K:$K,MATCH($O$3&amp;"|"&amp;$B$4,Data_Careers!$A:$A,0)),"")))),"★",""))</f>
        <v/>
      </c>
      <c r="T44">
        <f>IF(M44="","",IFERROR(IFERROR(INDEX(Data_Talents!$D:$D,MATCH(M44,Data_Talents!$A:$A,0))&amp;"",INDEX(Data_Talents!$D:$D,MATCH(TRIM(IFERROR(LEFT(M44,FIND("(",M44)-1),M44)),Data_Talents!$B:$B,0))&amp;""),""))</f>
        <v/>
      </c>
      <c r="U44">
        <f>IF(M44="",0,IF(N(P44)=0,1,N(P44)))</f>
        <v/>
      </c>
    </row>
    <row r="45">
      <c r="A45" s="4" t="inlineStr">
        <is>
          <t>Melee (Basic)</t>
        </is>
      </c>
      <c r="B45" s="15">
        <f>IF(A45="","",IFERROR(IFERROR(INDEX(Data_Skills!$C:$C,MATCH(A45,Data_Skills!$A:$A,0))&amp;"",INDEX(Data_Skills!$C:$C,MATCH(TRIM(IFERROR(LEFT(A45,FIND("(",A45)-1),A45)),Data_Skills!$B:$B,0))&amp;""),""))</f>
        <v/>
      </c>
      <c r="C45" s="15">
        <f>IF(B45="","",INDEX($B$16:$K$16,MATCH(B45,$B$10:$K$10,0)))</f>
        <v/>
      </c>
      <c r="D45" s="22" t="n">
        <v>0</v>
      </c>
      <c r="E45" s="11" t="n">
        <v>0</v>
      </c>
      <c r="F45" s="11" t="n">
        <v>0</v>
      </c>
      <c r="G45" s="17">
        <f>IF(OR(A45="",C45=""),"",C45+N(E45))</f>
        <v/>
      </c>
      <c r="H45" s="19">
        <f>IF(A45="","",IFERROR(MAX(0,2*INDEX(Data_Lists!$AG$2:$AG$17,N(E45)/5+1)-INDEX(Data_Lists!$AG$2:$AG$17,N(D45)/5+1)-INDEX(Data_Lists!$AG$2:$AG$17,(N(E45)-N(F45))/5+1)),"?"))</f>
        <v/>
      </c>
      <c r="I45" s="15">
        <f>IF(OR(A45="",$O$3=""),"",IF(OR(ISNUMBER(SEARCH("|"&amp;A45&amp;"|",IFERROR(INDEX(Data_Careers!$J:$J,MATCH($O$3&amp;"|"&amp;$B$4,Data_Careers!$A:$A,0)),""))),ISNUMBER(SEARCH("|"&amp;TRIM(IFERROR(LEFT(A45,FIND("(",A45)-1),A45))&amp;" (any)|",IFERROR(INDEX(Data_Careers!$J:$J,MATCH($O$3&amp;"|"&amp;$B$4,Data_Careers!$A:$A,0)),"")))),"★",""))</f>
        <v/>
      </c>
      <c r="M45" s="4" t="n"/>
      <c r="N45" s="5" t="n"/>
      <c r="O45" s="5" t="n"/>
      <c r="P45" s="11" t="n"/>
      <c r="Q45" s="11" t="n"/>
      <c r="R45" s="19">
        <f>IF(M45="","",IF(Q45="Yes",100*U45,0))</f>
        <v/>
      </c>
      <c r="S45" s="15">
        <f>IF(OR(M45="",$O$3=""),"",IF(OR(ISNUMBER(SEARCH("|"&amp;M45&amp;"|",IFERROR(INDEX(Data_Careers!$K:$K,MATCH($O$3&amp;"|"&amp;$B$4,Data_Careers!$A:$A,0)),""))),ISNUMBER(SEARCH("|"&amp;TRIM(IFERROR(LEFT(M45,FIND("(",M45)-1),M45))&amp;" (any)|",IFERROR(INDEX(Data_Careers!$K:$K,MATCH($O$3&amp;"|"&amp;$B$4,Data_Careers!$A:$A,0)),"")))),"★",""))</f>
        <v/>
      </c>
      <c r="T45">
        <f>IF(M45="","",IFERROR(IFERROR(INDEX(Data_Talents!$D:$D,MATCH(M45,Data_Talents!$A:$A,0))&amp;"",INDEX(Data_Talents!$D:$D,MATCH(TRIM(IFERROR(LEFT(M45,FIND("(",M45)-1),M45)),Data_Talents!$B:$B,0))&amp;""),""))</f>
        <v/>
      </c>
      <c r="U45">
        <f>IF(M45="",0,IF(N(P45)=0,1,N(P45)))</f>
        <v/>
      </c>
    </row>
    <row r="46">
      <c r="A46" s="4" t="inlineStr">
        <is>
          <t>Melee</t>
        </is>
      </c>
      <c r="B46" s="15">
        <f>IF(A46="","",IFERROR(IFERROR(INDEX(Data_Skills!$C:$C,MATCH(A46,Data_Skills!$A:$A,0))&amp;"",INDEX(Data_Skills!$C:$C,MATCH(TRIM(IFERROR(LEFT(A46,FIND("(",A46)-1),A46)),Data_Skills!$B:$B,0))&amp;""),""))</f>
        <v/>
      </c>
      <c r="C46" s="15">
        <f>IF(B46="","",INDEX($B$16:$K$16,MATCH(B46,$B$10:$K$10,0)))</f>
        <v/>
      </c>
      <c r="D46" s="22" t="n">
        <v>0</v>
      </c>
      <c r="E46" s="11" t="n">
        <v>0</v>
      </c>
      <c r="F46" s="11" t="n">
        <v>0</v>
      </c>
      <c r="G46" s="17">
        <f>IF(OR(A46="",C46=""),"",C46+N(E46))</f>
        <v/>
      </c>
      <c r="H46" s="19">
        <f>IF(A46="","",IFERROR(MAX(0,2*INDEX(Data_Lists!$AG$2:$AG$17,N(E46)/5+1)-INDEX(Data_Lists!$AG$2:$AG$17,N(D46)/5+1)-INDEX(Data_Lists!$AG$2:$AG$17,(N(E46)-N(F46))/5+1)),"?"))</f>
        <v/>
      </c>
      <c r="I46" s="15">
        <f>IF(OR(A46="",$O$3=""),"",IF(OR(ISNUMBER(SEARCH("|"&amp;A46&amp;"|",IFERROR(INDEX(Data_Careers!$J:$J,MATCH($O$3&amp;"|"&amp;$B$4,Data_Careers!$A:$A,0)),""))),ISNUMBER(SEARCH("|"&amp;TRIM(IFERROR(LEFT(A46,FIND("(",A46)-1),A46))&amp;" (any)|",IFERROR(INDEX(Data_Careers!$J:$J,MATCH($O$3&amp;"|"&amp;$B$4,Data_Careers!$A:$A,0)),"")))),"★",""))</f>
        <v/>
      </c>
      <c r="M46" s="4" t="n"/>
      <c r="N46" s="5" t="n"/>
      <c r="O46" s="5" t="n"/>
      <c r="P46" s="11" t="n"/>
      <c r="Q46" s="11" t="n"/>
      <c r="R46" s="19">
        <f>IF(M46="","",IF(Q46="Yes",100*U46,0))</f>
        <v/>
      </c>
      <c r="S46" s="15">
        <f>IF(OR(M46="",$O$3=""),"",IF(OR(ISNUMBER(SEARCH("|"&amp;M46&amp;"|",IFERROR(INDEX(Data_Careers!$K:$K,MATCH($O$3&amp;"|"&amp;$B$4,Data_Careers!$A:$A,0)),""))),ISNUMBER(SEARCH("|"&amp;TRIM(IFERROR(LEFT(M46,FIND("(",M46)-1),M46))&amp;" (any)|",IFERROR(INDEX(Data_Careers!$K:$K,MATCH($O$3&amp;"|"&amp;$B$4,Data_Careers!$A:$A,0)),"")))),"★",""))</f>
        <v/>
      </c>
      <c r="T46">
        <f>IF(M46="","",IFERROR(IFERROR(INDEX(Data_Talents!$D:$D,MATCH(M46,Data_Talents!$A:$A,0))&amp;"",INDEX(Data_Talents!$D:$D,MATCH(TRIM(IFERROR(LEFT(M46,FIND("(",M46)-1),M46)),Data_Talents!$B:$B,0))&amp;""),""))</f>
        <v/>
      </c>
      <c r="U46">
        <f>IF(M46="",0,IF(N(P46)=0,1,N(P46)))</f>
        <v/>
      </c>
    </row>
    <row r="47">
      <c r="A47" s="4" t="inlineStr">
        <is>
          <t>Navigation</t>
        </is>
      </c>
      <c r="B47" s="15">
        <f>IF(A47="","",IFERROR(IFERROR(INDEX(Data_Skills!$C:$C,MATCH(A47,Data_Skills!$A:$A,0))&amp;"",INDEX(Data_Skills!$C:$C,MATCH(TRIM(IFERROR(LEFT(A47,FIND("(",A47)-1),A47)),Data_Skills!$B:$B,0))&amp;""),""))</f>
        <v/>
      </c>
      <c r="C47" s="15">
        <f>IF(B47="","",INDEX($B$16:$K$16,MATCH(B47,$B$10:$K$10,0)))</f>
        <v/>
      </c>
      <c r="D47" s="22" t="n">
        <v>0</v>
      </c>
      <c r="E47" s="11" t="n">
        <v>0</v>
      </c>
      <c r="F47" s="11" t="n">
        <v>0</v>
      </c>
      <c r="G47" s="17">
        <f>IF(OR(A47="",C47=""),"",C47+N(E47))</f>
        <v/>
      </c>
      <c r="H47" s="19">
        <f>IF(A47="","",IFERROR(MAX(0,2*INDEX(Data_Lists!$AG$2:$AG$17,N(E47)/5+1)-INDEX(Data_Lists!$AG$2:$AG$17,N(D47)/5+1)-INDEX(Data_Lists!$AG$2:$AG$17,(N(E47)-N(F47))/5+1)),"?"))</f>
        <v/>
      </c>
      <c r="I47" s="15">
        <f>IF(OR(A47="",$O$3=""),"",IF(OR(ISNUMBER(SEARCH("|"&amp;A47&amp;"|",IFERROR(INDEX(Data_Careers!$J:$J,MATCH($O$3&amp;"|"&amp;$B$4,Data_Careers!$A:$A,0)),""))),ISNUMBER(SEARCH("|"&amp;TRIM(IFERROR(LEFT(A47,FIND("(",A47)-1),A47))&amp;" (any)|",IFERROR(INDEX(Data_Careers!$J:$J,MATCH($O$3&amp;"|"&amp;$B$4,Data_Careers!$A:$A,0)),"")))),"★",""))</f>
        <v/>
      </c>
      <c r="M47" s="4" t="n"/>
      <c r="N47" s="5" t="n"/>
      <c r="O47" s="5" t="n"/>
      <c r="P47" s="11" t="n"/>
      <c r="Q47" s="11" t="n"/>
      <c r="R47" s="19">
        <f>IF(M47="","",IF(Q47="Yes",100*U47,0))</f>
        <v/>
      </c>
      <c r="S47" s="15">
        <f>IF(OR(M47="",$O$3=""),"",IF(OR(ISNUMBER(SEARCH("|"&amp;M47&amp;"|",IFERROR(INDEX(Data_Careers!$K:$K,MATCH($O$3&amp;"|"&amp;$B$4,Data_Careers!$A:$A,0)),""))),ISNUMBER(SEARCH("|"&amp;TRIM(IFERROR(LEFT(M47,FIND("(",M47)-1),M47))&amp;" (any)|",IFERROR(INDEX(Data_Careers!$K:$K,MATCH($O$3&amp;"|"&amp;$B$4,Data_Careers!$A:$A,0)),"")))),"★",""))</f>
        <v/>
      </c>
      <c r="T47">
        <f>IF(M47="","",IFERROR(IFERROR(INDEX(Data_Talents!$D:$D,MATCH(M47,Data_Talents!$A:$A,0))&amp;"",INDEX(Data_Talents!$D:$D,MATCH(TRIM(IFERROR(LEFT(M47,FIND("(",M47)-1),M47)),Data_Talents!$B:$B,0))&amp;""),""))</f>
        <v/>
      </c>
      <c r="U47">
        <f>IF(M47="",0,IF(N(P47)=0,1,N(P47)))</f>
        <v/>
      </c>
    </row>
    <row r="48">
      <c r="A48" s="4" t="inlineStr">
        <is>
          <t>Outdoor Survival</t>
        </is>
      </c>
      <c r="B48" s="15">
        <f>IF(A48="","",IFERROR(IFERROR(INDEX(Data_Skills!$C:$C,MATCH(A48,Data_Skills!$A:$A,0))&amp;"",INDEX(Data_Skills!$C:$C,MATCH(TRIM(IFERROR(LEFT(A48,FIND("(",A48)-1),A48)),Data_Skills!$B:$B,0))&amp;""),""))</f>
        <v/>
      </c>
      <c r="C48" s="15">
        <f>IF(B48="","",INDEX($B$16:$K$16,MATCH(B48,$B$10:$K$10,0)))</f>
        <v/>
      </c>
      <c r="D48" s="22" t="n">
        <v>0</v>
      </c>
      <c r="E48" s="11" t="n">
        <v>0</v>
      </c>
      <c r="F48" s="11" t="n">
        <v>0</v>
      </c>
      <c r="G48" s="17">
        <f>IF(OR(A48="",C48=""),"",C48+N(E48))</f>
        <v/>
      </c>
      <c r="H48" s="19">
        <f>IF(A48="","",IFERROR(MAX(0,2*INDEX(Data_Lists!$AG$2:$AG$17,N(E48)/5+1)-INDEX(Data_Lists!$AG$2:$AG$17,N(D48)/5+1)-INDEX(Data_Lists!$AG$2:$AG$17,(N(E48)-N(F48))/5+1)),"?"))</f>
        <v/>
      </c>
      <c r="I48" s="15">
        <f>IF(OR(A48="",$O$3=""),"",IF(OR(ISNUMBER(SEARCH("|"&amp;A48&amp;"|",IFERROR(INDEX(Data_Careers!$J:$J,MATCH($O$3&amp;"|"&amp;$B$4,Data_Careers!$A:$A,0)),""))),ISNUMBER(SEARCH("|"&amp;TRIM(IFERROR(LEFT(A48,FIND("(",A48)-1),A48))&amp;" (any)|",IFERROR(INDEX(Data_Careers!$J:$J,MATCH($O$3&amp;"|"&amp;$B$4,Data_Careers!$A:$A,0)),"")))),"★",""))</f>
        <v/>
      </c>
      <c r="M48" s="4" t="n"/>
      <c r="N48" s="5" t="n"/>
      <c r="O48" s="5" t="n"/>
      <c r="P48" s="11" t="n"/>
      <c r="Q48" s="11" t="n"/>
      <c r="R48" s="19">
        <f>IF(M48="","",IF(Q48="Yes",100*U48,0))</f>
        <v/>
      </c>
      <c r="S48" s="15">
        <f>IF(OR(M48="",$O$3=""),"",IF(OR(ISNUMBER(SEARCH("|"&amp;M48&amp;"|",IFERROR(INDEX(Data_Careers!$K:$K,MATCH($O$3&amp;"|"&amp;$B$4,Data_Careers!$A:$A,0)),""))),ISNUMBER(SEARCH("|"&amp;TRIM(IFERROR(LEFT(M48,FIND("(",M48)-1),M48))&amp;" (any)|",IFERROR(INDEX(Data_Careers!$K:$K,MATCH($O$3&amp;"|"&amp;$B$4,Data_Careers!$A:$A,0)),"")))),"★",""))</f>
        <v/>
      </c>
      <c r="T48">
        <f>IF(M48="","",IFERROR(IFERROR(INDEX(Data_Talents!$D:$D,MATCH(M48,Data_Talents!$A:$A,0))&amp;"",INDEX(Data_Talents!$D:$D,MATCH(TRIM(IFERROR(LEFT(M48,FIND("(",M48)-1),M48)),Data_Talents!$B:$B,0))&amp;""),""))</f>
        <v/>
      </c>
      <c r="U48">
        <f>IF(M48="",0,IF(N(P48)=0,1,N(P48)))</f>
        <v/>
      </c>
    </row>
    <row r="49">
      <c r="A49" s="4" t="inlineStr">
        <is>
          <t>Perception</t>
        </is>
      </c>
      <c r="B49" s="15">
        <f>IF(A49="","",IFERROR(IFERROR(INDEX(Data_Skills!$C:$C,MATCH(A49,Data_Skills!$A:$A,0))&amp;"",INDEX(Data_Skills!$C:$C,MATCH(TRIM(IFERROR(LEFT(A49,FIND("(",A49)-1),A49)),Data_Skills!$B:$B,0))&amp;""),""))</f>
        <v/>
      </c>
      <c r="C49" s="15">
        <f>IF(B49="","",INDEX($B$16:$K$16,MATCH(B49,$B$10:$K$10,0)))</f>
        <v/>
      </c>
      <c r="D49" s="22" t="n">
        <v>0</v>
      </c>
      <c r="E49" s="11" t="n">
        <v>0</v>
      </c>
      <c r="F49" s="11" t="n">
        <v>0</v>
      </c>
      <c r="G49" s="17">
        <f>IF(OR(A49="",C49=""),"",C49+N(E49))</f>
        <v/>
      </c>
      <c r="H49" s="19">
        <f>IF(A49="","",IFERROR(MAX(0,2*INDEX(Data_Lists!$AG$2:$AG$17,N(E49)/5+1)-INDEX(Data_Lists!$AG$2:$AG$17,N(D49)/5+1)-INDEX(Data_Lists!$AG$2:$AG$17,(N(E49)-N(F49))/5+1)),"?"))</f>
        <v/>
      </c>
      <c r="I49" s="15">
        <f>IF(OR(A49="",$O$3=""),"",IF(OR(ISNUMBER(SEARCH("|"&amp;A49&amp;"|",IFERROR(INDEX(Data_Careers!$J:$J,MATCH($O$3&amp;"|"&amp;$B$4,Data_Careers!$A:$A,0)),""))),ISNUMBER(SEARCH("|"&amp;TRIM(IFERROR(LEFT(A49,FIND("(",A49)-1),A49))&amp;" (any)|",IFERROR(INDEX(Data_Careers!$J:$J,MATCH($O$3&amp;"|"&amp;$B$4,Data_Careers!$A:$A,0)),"")))),"★",""))</f>
        <v/>
      </c>
      <c r="M49" s="4" t="n"/>
      <c r="N49" s="5" t="n"/>
      <c r="O49" s="5" t="n"/>
      <c r="P49" s="11" t="n"/>
      <c r="Q49" s="11" t="n"/>
      <c r="R49" s="19">
        <f>IF(M49="","",IF(Q49="Yes",100*U49,0))</f>
        <v/>
      </c>
      <c r="S49" s="15">
        <f>IF(OR(M49="",$O$3=""),"",IF(OR(ISNUMBER(SEARCH("|"&amp;M49&amp;"|",IFERROR(INDEX(Data_Careers!$K:$K,MATCH($O$3&amp;"|"&amp;$B$4,Data_Careers!$A:$A,0)),""))),ISNUMBER(SEARCH("|"&amp;TRIM(IFERROR(LEFT(M49,FIND("(",M49)-1),M49))&amp;" (any)|",IFERROR(INDEX(Data_Careers!$K:$K,MATCH($O$3&amp;"|"&amp;$B$4,Data_Careers!$A:$A,0)),"")))),"★",""))</f>
        <v/>
      </c>
      <c r="T49">
        <f>IF(M49="","",IFERROR(IFERROR(INDEX(Data_Talents!$D:$D,MATCH(M49,Data_Talents!$A:$A,0))&amp;"",INDEX(Data_Talents!$D:$D,MATCH(TRIM(IFERROR(LEFT(M49,FIND("(",M49)-1),M49)),Data_Talents!$B:$B,0))&amp;""),""))</f>
        <v/>
      </c>
      <c r="U49">
        <f>IF(M49="",0,IF(N(P49)=0,1,N(P49)))</f>
        <v/>
      </c>
    </row>
    <row r="50">
      <c r="A50" s="4" t="inlineStr">
        <is>
          <t>Ride</t>
        </is>
      </c>
      <c r="B50" s="15">
        <f>IF(A50="","",IFERROR(IFERROR(INDEX(Data_Skills!$C:$C,MATCH(A50,Data_Skills!$A:$A,0))&amp;"",INDEX(Data_Skills!$C:$C,MATCH(TRIM(IFERROR(LEFT(A50,FIND("(",A50)-1),A50)),Data_Skills!$B:$B,0))&amp;""),""))</f>
        <v/>
      </c>
      <c r="C50" s="15">
        <f>IF(B50="","",INDEX($B$16:$K$16,MATCH(B50,$B$10:$K$10,0)))</f>
        <v/>
      </c>
      <c r="D50" s="22" t="n">
        <v>0</v>
      </c>
      <c r="E50" s="11" t="n">
        <v>0</v>
      </c>
      <c r="F50" s="11" t="n">
        <v>0</v>
      </c>
      <c r="G50" s="17">
        <f>IF(OR(A50="",C50=""),"",C50+N(E50))</f>
        <v/>
      </c>
      <c r="H50" s="19">
        <f>IF(A50="","",IFERROR(MAX(0,2*INDEX(Data_Lists!$AG$2:$AG$17,N(E50)/5+1)-INDEX(Data_Lists!$AG$2:$AG$17,N(D50)/5+1)-INDEX(Data_Lists!$AG$2:$AG$17,(N(E50)-N(F50))/5+1)),"?"))</f>
        <v/>
      </c>
      <c r="I50" s="15">
        <f>IF(OR(A50="",$O$3=""),"",IF(OR(ISNUMBER(SEARCH("|"&amp;A50&amp;"|",IFERROR(INDEX(Data_Careers!$J:$J,MATCH($O$3&amp;"|"&amp;$B$4,Data_Careers!$A:$A,0)),""))),ISNUMBER(SEARCH("|"&amp;TRIM(IFERROR(LEFT(A50,FIND("(",A50)-1),A50))&amp;" (any)|",IFERROR(INDEX(Data_Careers!$J:$J,MATCH($O$3&amp;"|"&amp;$B$4,Data_Careers!$A:$A,0)),"")))),"★",""))</f>
        <v/>
      </c>
      <c r="M50" s="4" t="n"/>
      <c r="N50" s="5" t="n"/>
      <c r="O50" s="5" t="n"/>
      <c r="P50" s="11" t="n"/>
      <c r="Q50" s="11" t="n"/>
      <c r="R50" s="19">
        <f>IF(M50="","",IF(Q50="Yes",100*U50,0))</f>
        <v/>
      </c>
      <c r="S50" s="15">
        <f>IF(OR(M50="",$O$3=""),"",IF(OR(ISNUMBER(SEARCH("|"&amp;M50&amp;"|",IFERROR(INDEX(Data_Careers!$K:$K,MATCH($O$3&amp;"|"&amp;$B$4,Data_Careers!$A:$A,0)),""))),ISNUMBER(SEARCH("|"&amp;TRIM(IFERROR(LEFT(M50,FIND("(",M50)-1),M50))&amp;" (any)|",IFERROR(INDEX(Data_Careers!$K:$K,MATCH($O$3&amp;"|"&amp;$B$4,Data_Careers!$A:$A,0)),"")))),"★",""))</f>
        <v/>
      </c>
      <c r="T50">
        <f>IF(M50="","",IFERROR(IFERROR(INDEX(Data_Talents!$D:$D,MATCH(M50,Data_Talents!$A:$A,0))&amp;"",INDEX(Data_Talents!$D:$D,MATCH(TRIM(IFERROR(LEFT(M50,FIND("(",M50)-1),M50)),Data_Talents!$B:$B,0))&amp;""),""))</f>
        <v/>
      </c>
      <c r="U50">
        <f>IF(M50="",0,IF(N(P50)=0,1,N(P50)))</f>
        <v/>
      </c>
    </row>
    <row r="51">
      <c r="A51" s="4" t="inlineStr">
        <is>
          <t>Row</t>
        </is>
      </c>
      <c r="B51" s="15">
        <f>IF(A51="","",IFERROR(IFERROR(INDEX(Data_Skills!$C:$C,MATCH(A51,Data_Skills!$A:$A,0))&amp;"",INDEX(Data_Skills!$C:$C,MATCH(TRIM(IFERROR(LEFT(A51,FIND("(",A51)-1),A51)),Data_Skills!$B:$B,0))&amp;""),""))</f>
        <v/>
      </c>
      <c r="C51" s="15">
        <f>IF(B51="","",INDEX($B$16:$K$16,MATCH(B51,$B$10:$K$10,0)))</f>
        <v/>
      </c>
      <c r="D51" s="22" t="n">
        <v>0</v>
      </c>
      <c r="E51" s="11" t="n">
        <v>0</v>
      </c>
      <c r="F51" s="11" t="n">
        <v>0</v>
      </c>
      <c r="G51" s="17">
        <f>IF(OR(A51="",C51=""),"",C51+N(E51))</f>
        <v/>
      </c>
      <c r="H51" s="19">
        <f>IF(A51="","",IFERROR(MAX(0,2*INDEX(Data_Lists!$AG$2:$AG$17,N(E51)/5+1)-INDEX(Data_Lists!$AG$2:$AG$17,N(D51)/5+1)-INDEX(Data_Lists!$AG$2:$AG$17,(N(E51)-N(F51))/5+1)),"?"))</f>
        <v/>
      </c>
      <c r="I51" s="15">
        <f>IF(OR(A51="",$O$3=""),"",IF(OR(ISNUMBER(SEARCH("|"&amp;A51&amp;"|",IFERROR(INDEX(Data_Careers!$J:$J,MATCH($O$3&amp;"|"&amp;$B$4,Data_Careers!$A:$A,0)),""))),ISNUMBER(SEARCH("|"&amp;TRIM(IFERROR(LEFT(A51,FIND("(",A51)-1),A51))&amp;" (any)|",IFERROR(INDEX(Data_Careers!$J:$J,MATCH($O$3&amp;"|"&amp;$B$4,Data_Careers!$A:$A,0)),"")))),"★",""))</f>
        <v/>
      </c>
      <c r="M51" s="4" t="n"/>
      <c r="N51" s="5" t="n"/>
      <c r="O51" s="5" t="n"/>
      <c r="P51" s="11" t="n"/>
      <c r="Q51" s="11" t="n"/>
      <c r="R51" s="19">
        <f>IF(M51="","",IF(Q51="Yes",100*U51,0))</f>
        <v/>
      </c>
      <c r="S51" s="15">
        <f>IF(OR(M51="",$O$3=""),"",IF(OR(ISNUMBER(SEARCH("|"&amp;M51&amp;"|",IFERROR(INDEX(Data_Careers!$K:$K,MATCH($O$3&amp;"|"&amp;$B$4,Data_Careers!$A:$A,0)),""))),ISNUMBER(SEARCH("|"&amp;TRIM(IFERROR(LEFT(M51,FIND("(",M51)-1),M51))&amp;" (any)|",IFERROR(INDEX(Data_Careers!$K:$K,MATCH($O$3&amp;"|"&amp;$B$4,Data_Careers!$A:$A,0)),"")))),"★",""))</f>
        <v/>
      </c>
      <c r="T51">
        <f>IF(M51="","",IFERROR(IFERROR(INDEX(Data_Talents!$D:$D,MATCH(M51,Data_Talents!$A:$A,0))&amp;"",INDEX(Data_Talents!$D:$D,MATCH(TRIM(IFERROR(LEFT(M51,FIND("(",M51)-1),M51)),Data_Talents!$B:$B,0))&amp;""),""))</f>
        <v/>
      </c>
      <c r="U51">
        <f>IF(M51="",0,IF(N(P51)=0,1,N(P51)))</f>
        <v/>
      </c>
    </row>
    <row r="52">
      <c r="A52" s="4" t="inlineStr">
        <is>
          <t>Stealth</t>
        </is>
      </c>
      <c r="B52" s="15">
        <f>IF(A52="","",IFERROR(IFERROR(INDEX(Data_Skills!$C:$C,MATCH(A52,Data_Skills!$A:$A,0))&amp;"",INDEX(Data_Skills!$C:$C,MATCH(TRIM(IFERROR(LEFT(A52,FIND("(",A52)-1),A52)),Data_Skills!$B:$B,0))&amp;""),""))</f>
        <v/>
      </c>
      <c r="C52" s="15">
        <f>IF(B52="","",INDEX($B$16:$K$16,MATCH(B52,$B$10:$K$10,0)))</f>
        <v/>
      </c>
      <c r="D52" s="22" t="n">
        <v>0</v>
      </c>
      <c r="E52" s="11" t="n">
        <v>0</v>
      </c>
      <c r="F52" s="11" t="n">
        <v>0</v>
      </c>
      <c r="G52" s="17">
        <f>IF(OR(A52="",C52=""),"",C52+N(E52))</f>
        <v/>
      </c>
      <c r="H52" s="19">
        <f>IF(A52="","",IFERROR(MAX(0,2*INDEX(Data_Lists!$AG$2:$AG$17,N(E52)/5+1)-INDEX(Data_Lists!$AG$2:$AG$17,N(D52)/5+1)-INDEX(Data_Lists!$AG$2:$AG$17,(N(E52)-N(F52))/5+1)),"?"))</f>
        <v/>
      </c>
      <c r="I52" s="15">
        <f>IF(OR(A52="",$O$3=""),"",IF(OR(ISNUMBER(SEARCH("|"&amp;A52&amp;"|",IFERROR(INDEX(Data_Careers!$J:$J,MATCH($O$3&amp;"|"&amp;$B$4,Data_Careers!$A:$A,0)),""))),ISNUMBER(SEARCH("|"&amp;TRIM(IFERROR(LEFT(A52,FIND("(",A52)-1),A52))&amp;" (any)|",IFERROR(INDEX(Data_Careers!$J:$J,MATCH($O$3&amp;"|"&amp;$B$4,Data_Careers!$A:$A,0)),"")))),"★",""))</f>
        <v/>
      </c>
      <c r="M52" s="4" t="n"/>
      <c r="N52" s="5" t="n"/>
      <c r="O52" s="5" t="n"/>
      <c r="P52" s="11" t="n"/>
      <c r="Q52" s="11" t="n"/>
      <c r="R52" s="19">
        <f>IF(M52="","",IF(Q52="Yes",100*U52,0))</f>
        <v/>
      </c>
      <c r="S52" s="15">
        <f>IF(OR(M52="",$O$3=""),"",IF(OR(ISNUMBER(SEARCH("|"&amp;M52&amp;"|",IFERROR(INDEX(Data_Careers!$K:$K,MATCH($O$3&amp;"|"&amp;$B$4,Data_Careers!$A:$A,0)),""))),ISNUMBER(SEARCH("|"&amp;TRIM(IFERROR(LEFT(M52,FIND("(",M52)-1),M52))&amp;" (any)|",IFERROR(INDEX(Data_Careers!$K:$K,MATCH($O$3&amp;"|"&amp;$B$4,Data_Careers!$A:$A,0)),"")))),"★",""))</f>
        <v/>
      </c>
      <c r="T52">
        <f>IF(M52="","",IFERROR(IFERROR(INDEX(Data_Talents!$D:$D,MATCH(M52,Data_Talents!$A:$A,0))&amp;"",INDEX(Data_Talents!$D:$D,MATCH(TRIM(IFERROR(LEFT(M52,FIND("(",M52)-1),M52)),Data_Talents!$B:$B,0))&amp;""),""))</f>
        <v/>
      </c>
      <c r="U52">
        <f>IF(M52="",0,IF(N(P52)=0,1,N(P52)))</f>
        <v/>
      </c>
    </row>
    <row r="53">
      <c r="A53" s="23" t="inlineStr">
        <is>
          <t>Advanced &amp; grouped skills — pick from the list (e.g. Language (Reikspiel), Lore (Law))</t>
        </is>
      </c>
      <c r="B53" s="5" t="n"/>
      <c r="C53" s="5" t="n"/>
      <c r="D53" s="5" t="n"/>
      <c r="E53" s="5" t="n"/>
      <c r="F53" s="5" t="n"/>
      <c r="G53" s="5" t="n"/>
      <c r="H53" s="5" t="n"/>
      <c r="I53" s="5" t="n"/>
      <c r="M53" s="4" t="n"/>
      <c r="N53" s="5" t="n"/>
      <c r="O53" s="5" t="n"/>
      <c r="P53" s="11" t="n"/>
      <c r="Q53" s="11" t="n"/>
      <c r="R53" s="19">
        <f>IF(M53="","",IF(Q53="Yes",100*U53,0))</f>
        <v/>
      </c>
      <c r="S53" s="15">
        <f>IF(OR(M53="",$O$3=""),"",IF(OR(ISNUMBER(SEARCH("|"&amp;M53&amp;"|",IFERROR(INDEX(Data_Careers!$K:$K,MATCH($O$3&amp;"|"&amp;$B$4,Data_Careers!$A:$A,0)),""))),ISNUMBER(SEARCH("|"&amp;TRIM(IFERROR(LEFT(M53,FIND("(",M53)-1),M53))&amp;" (any)|",IFERROR(INDEX(Data_Careers!$K:$K,MATCH($O$3&amp;"|"&amp;$B$4,Data_Careers!$A:$A,0)),"")))),"★",""))</f>
        <v/>
      </c>
      <c r="T53">
        <f>IF(M53="","",IFERROR(IFERROR(INDEX(Data_Talents!$D:$D,MATCH(M53,Data_Talents!$A:$A,0))&amp;"",INDEX(Data_Talents!$D:$D,MATCH(TRIM(IFERROR(LEFT(M53,FIND("(",M53)-1),M53)),Data_Talents!$B:$B,0))&amp;""),""))</f>
        <v/>
      </c>
      <c r="U53">
        <f>IF(M53="",0,IF(N(P53)=0,1,N(P53)))</f>
        <v/>
      </c>
    </row>
    <row r="54">
      <c r="A54" s="4" t="n"/>
      <c r="B54" s="15">
        <f>IF(A54="","",IFERROR(IFERROR(INDEX(Data_Skills!$C:$C,MATCH(A54,Data_Skills!$A:$A,0))&amp;"",INDEX(Data_Skills!$C:$C,MATCH(TRIM(IFERROR(LEFT(A54,FIND("(",A54)-1),A54)),Data_Skills!$B:$B,0))&amp;""),""))</f>
        <v/>
      </c>
      <c r="C54" s="15">
        <f>IF(B54="","",INDEX($B$16:$K$16,MATCH(B54,$B$10:$K$10,0)))</f>
        <v/>
      </c>
      <c r="D54" s="22" t="n"/>
      <c r="E54" s="11" t="n"/>
      <c r="F54" s="11" t="n"/>
      <c r="G54" s="17">
        <f>IF(OR(A54="",C54=""),"",C54+N(E54))</f>
        <v/>
      </c>
      <c r="H54" s="19">
        <f>IF(A54="","",IFERROR(MAX(0,2*INDEX(Data_Lists!$AG$2:$AG$17,N(E54)/5+1)-INDEX(Data_Lists!$AG$2:$AG$17,N(D54)/5+1)-INDEX(Data_Lists!$AG$2:$AG$17,(N(E54)-N(F54))/5+1)),"?"))</f>
        <v/>
      </c>
      <c r="I54" s="15">
        <f>IF(OR(A54="",$O$3=""),"",IF(OR(ISNUMBER(SEARCH("|"&amp;A54&amp;"|",IFERROR(INDEX(Data_Careers!$J:$J,MATCH($O$3&amp;"|"&amp;$B$4,Data_Careers!$A:$A,0)),""))),ISNUMBER(SEARCH("|"&amp;TRIM(IFERROR(LEFT(A54,FIND("(",A54)-1),A54))&amp;" (any)|",IFERROR(INDEX(Data_Careers!$J:$J,MATCH($O$3&amp;"|"&amp;$B$4,Data_Careers!$A:$A,0)),"")))),"★",""))</f>
        <v/>
      </c>
      <c r="M54" s="4" t="n"/>
      <c r="N54" s="5" t="n"/>
      <c r="O54" s="5" t="n"/>
      <c r="P54" s="11" t="n"/>
      <c r="Q54" s="11" t="n"/>
      <c r="R54" s="19">
        <f>IF(M54="","",IF(Q54="Yes",100*U54,0))</f>
        <v/>
      </c>
      <c r="S54" s="15">
        <f>IF(OR(M54="",$O$3=""),"",IF(OR(ISNUMBER(SEARCH("|"&amp;M54&amp;"|",IFERROR(INDEX(Data_Careers!$K:$K,MATCH($O$3&amp;"|"&amp;$B$4,Data_Careers!$A:$A,0)),""))),ISNUMBER(SEARCH("|"&amp;TRIM(IFERROR(LEFT(M54,FIND("(",M54)-1),M54))&amp;" (any)|",IFERROR(INDEX(Data_Careers!$K:$K,MATCH($O$3&amp;"|"&amp;$B$4,Data_Careers!$A:$A,0)),"")))),"★",""))</f>
        <v/>
      </c>
      <c r="T54">
        <f>IF(M54="","",IFERROR(IFERROR(INDEX(Data_Talents!$D:$D,MATCH(M54,Data_Talents!$A:$A,0))&amp;"",INDEX(Data_Talents!$D:$D,MATCH(TRIM(IFERROR(LEFT(M54,FIND("(",M54)-1),M54)),Data_Talents!$B:$B,0))&amp;""),""))</f>
        <v/>
      </c>
      <c r="U54">
        <f>IF(M54="",0,IF(N(P54)=0,1,N(P54)))</f>
        <v/>
      </c>
    </row>
    <row r="55">
      <c r="A55" s="4" t="n"/>
      <c r="B55" s="15">
        <f>IF(A55="","",IFERROR(IFERROR(INDEX(Data_Skills!$C:$C,MATCH(A55,Data_Skills!$A:$A,0))&amp;"",INDEX(Data_Skills!$C:$C,MATCH(TRIM(IFERROR(LEFT(A55,FIND("(",A55)-1),A55)),Data_Skills!$B:$B,0))&amp;""),""))</f>
        <v/>
      </c>
      <c r="C55" s="15">
        <f>IF(B55="","",INDEX($B$16:$K$16,MATCH(B55,$B$10:$K$10,0)))</f>
        <v/>
      </c>
      <c r="D55" s="22" t="n"/>
      <c r="E55" s="11" t="n"/>
      <c r="F55" s="11" t="n"/>
      <c r="G55" s="17">
        <f>IF(OR(A55="",C55=""),"",C55+N(E55))</f>
        <v/>
      </c>
      <c r="H55" s="19">
        <f>IF(A55="","",IFERROR(MAX(0,2*INDEX(Data_Lists!$AG$2:$AG$17,N(E55)/5+1)-INDEX(Data_Lists!$AG$2:$AG$17,N(D55)/5+1)-INDEX(Data_Lists!$AG$2:$AG$17,(N(E55)-N(F55))/5+1)),"?"))</f>
        <v/>
      </c>
      <c r="I55" s="15">
        <f>IF(OR(A55="",$O$3=""),"",IF(OR(ISNUMBER(SEARCH("|"&amp;A55&amp;"|",IFERROR(INDEX(Data_Careers!$J:$J,MATCH($O$3&amp;"|"&amp;$B$4,Data_Careers!$A:$A,0)),""))),ISNUMBER(SEARCH("|"&amp;TRIM(IFERROR(LEFT(A55,FIND("(",A55)-1),A55))&amp;" (any)|",IFERROR(INDEX(Data_Careers!$J:$J,MATCH($O$3&amp;"|"&amp;$B$4,Data_Careers!$A:$A,0)),"")))),"★",""))</f>
        <v/>
      </c>
      <c r="M55" s="4" t="n"/>
      <c r="N55" s="5" t="n"/>
      <c r="O55" s="5" t="n"/>
      <c r="P55" s="11" t="n"/>
      <c r="Q55" s="11" t="n"/>
      <c r="R55" s="19">
        <f>IF(M55="","",IF(Q55="Yes",100*U55,0))</f>
        <v/>
      </c>
      <c r="S55" s="15">
        <f>IF(OR(M55="",$O$3=""),"",IF(OR(ISNUMBER(SEARCH("|"&amp;M55&amp;"|",IFERROR(INDEX(Data_Careers!$K:$K,MATCH($O$3&amp;"|"&amp;$B$4,Data_Careers!$A:$A,0)),""))),ISNUMBER(SEARCH("|"&amp;TRIM(IFERROR(LEFT(M55,FIND("(",M55)-1),M55))&amp;" (any)|",IFERROR(INDEX(Data_Careers!$K:$K,MATCH($O$3&amp;"|"&amp;$B$4,Data_Careers!$A:$A,0)),"")))),"★",""))</f>
        <v/>
      </c>
      <c r="T55">
        <f>IF(M55="","",IFERROR(IFERROR(INDEX(Data_Talents!$D:$D,MATCH(M55,Data_Talents!$A:$A,0))&amp;"",INDEX(Data_Talents!$D:$D,MATCH(TRIM(IFERROR(LEFT(M55,FIND("(",M55)-1),M55)),Data_Talents!$B:$B,0))&amp;""),""))</f>
        <v/>
      </c>
      <c r="U55">
        <f>IF(M55="",0,IF(N(P55)=0,1,N(P55)))</f>
        <v/>
      </c>
    </row>
    <row r="56">
      <c r="A56" s="4" t="n"/>
      <c r="B56" s="15">
        <f>IF(A56="","",IFERROR(IFERROR(INDEX(Data_Skills!$C:$C,MATCH(A56,Data_Skills!$A:$A,0))&amp;"",INDEX(Data_Skills!$C:$C,MATCH(TRIM(IFERROR(LEFT(A56,FIND("(",A56)-1),A56)),Data_Skills!$B:$B,0))&amp;""),""))</f>
        <v/>
      </c>
      <c r="C56" s="15">
        <f>IF(B56="","",INDEX($B$16:$K$16,MATCH(B56,$B$10:$K$10,0)))</f>
        <v/>
      </c>
      <c r="D56" s="22" t="n"/>
      <c r="E56" s="11" t="n"/>
      <c r="F56" s="11" t="n"/>
      <c r="G56" s="17">
        <f>IF(OR(A56="",C56=""),"",C56+N(E56))</f>
        <v/>
      </c>
      <c r="H56" s="19">
        <f>IF(A56="","",IFERROR(MAX(0,2*INDEX(Data_Lists!$AG$2:$AG$17,N(E56)/5+1)-INDEX(Data_Lists!$AG$2:$AG$17,N(D56)/5+1)-INDEX(Data_Lists!$AG$2:$AG$17,(N(E56)-N(F56))/5+1)),"?"))</f>
        <v/>
      </c>
      <c r="I56" s="15">
        <f>IF(OR(A56="",$O$3=""),"",IF(OR(ISNUMBER(SEARCH("|"&amp;A56&amp;"|",IFERROR(INDEX(Data_Careers!$J:$J,MATCH($O$3&amp;"|"&amp;$B$4,Data_Careers!$A:$A,0)),""))),ISNUMBER(SEARCH("|"&amp;TRIM(IFERROR(LEFT(A56,FIND("(",A56)-1),A56))&amp;" (any)|",IFERROR(INDEX(Data_Careers!$J:$J,MATCH($O$3&amp;"|"&amp;$B$4,Data_Careers!$A:$A,0)),"")))),"★",""))</f>
        <v/>
      </c>
      <c r="M56" s="4" t="n"/>
      <c r="N56" s="5" t="n"/>
      <c r="O56" s="5" t="n"/>
      <c r="P56" s="11" t="n"/>
      <c r="Q56" s="11" t="n"/>
      <c r="R56" s="19">
        <f>IF(M56="","",IF(Q56="Yes",100*U56,0))</f>
        <v/>
      </c>
      <c r="S56" s="15">
        <f>IF(OR(M56="",$O$3=""),"",IF(OR(ISNUMBER(SEARCH("|"&amp;M56&amp;"|",IFERROR(INDEX(Data_Careers!$K:$K,MATCH($O$3&amp;"|"&amp;$B$4,Data_Careers!$A:$A,0)),""))),ISNUMBER(SEARCH("|"&amp;TRIM(IFERROR(LEFT(M56,FIND("(",M56)-1),M56))&amp;" (any)|",IFERROR(INDEX(Data_Careers!$K:$K,MATCH($O$3&amp;"|"&amp;$B$4,Data_Careers!$A:$A,0)),"")))),"★",""))</f>
        <v/>
      </c>
      <c r="T56">
        <f>IF(M56="","",IFERROR(IFERROR(INDEX(Data_Talents!$D:$D,MATCH(M56,Data_Talents!$A:$A,0))&amp;"",INDEX(Data_Talents!$D:$D,MATCH(TRIM(IFERROR(LEFT(M56,FIND("(",M56)-1),M56)),Data_Talents!$B:$B,0))&amp;""),""))</f>
        <v/>
      </c>
      <c r="U56">
        <f>IF(M56="",0,IF(N(P56)=0,1,N(P56)))</f>
        <v/>
      </c>
    </row>
    <row r="57">
      <c r="A57" s="4" t="n"/>
      <c r="B57" s="15">
        <f>IF(A57="","",IFERROR(IFERROR(INDEX(Data_Skills!$C:$C,MATCH(A57,Data_Skills!$A:$A,0))&amp;"",INDEX(Data_Skills!$C:$C,MATCH(TRIM(IFERROR(LEFT(A57,FIND("(",A57)-1),A57)),Data_Skills!$B:$B,0))&amp;""),""))</f>
        <v/>
      </c>
      <c r="C57" s="15">
        <f>IF(B57="","",INDEX($B$16:$K$16,MATCH(B57,$B$10:$K$10,0)))</f>
        <v/>
      </c>
      <c r="D57" s="22" t="n"/>
      <c r="E57" s="11" t="n"/>
      <c r="F57" s="11" t="n"/>
      <c r="G57" s="17">
        <f>IF(OR(A57="",C57=""),"",C57+N(E57))</f>
        <v/>
      </c>
      <c r="H57" s="19">
        <f>IF(A57="","",IFERROR(MAX(0,2*INDEX(Data_Lists!$AG$2:$AG$17,N(E57)/5+1)-INDEX(Data_Lists!$AG$2:$AG$17,N(D57)/5+1)-INDEX(Data_Lists!$AG$2:$AG$17,(N(E57)-N(F57))/5+1)),"?"))</f>
        <v/>
      </c>
      <c r="I57" s="15">
        <f>IF(OR(A57="",$O$3=""),"",IF(OR(ISNUMBER(SEARCH("|"&amp;A57&amp;"|",IFERROR(INDEX(Data_Careers!$J:$J,MATCH($O$3&amp;"|"&amp;$B$4,Data_Careers!$A:$A,0)),""))),ISNUMBER(SEARCH("|"&amp;TRIM(IFERROR(LEFT(A57,FIND("(",A57)-1),A57))&amp;" (any)|",IFERROR(INDEX(Data_Careers!$J:$J,MATCH($O$3&amp;"|"&amp;$B$4,Data_Careers!$A:$A,0)),"")))),"★",""))</f>
        <v/>
      </c>
      <c r="M57" s="4" t="n"/>
      <c r="N57" s="5" t="n"/>
      <c r="O57" s="5" t="n"/>
      <c r="P57" s="11" t="n"/>
      <c r="Q57" s="11" t="n"/>
      <c r="R57" s="19">
        <f>IF(M57="","",IF(Q57="Yes",100*U57,0))</f>
        <v/>
      </c>
      <c r="S57" s="15">
        <f>IF(OR(M57="",$O$3=""),"",IF(OR(ISNUMBER(SEARCH("|"&amp;M57&amp;"|",IFERROR(INDEX(Data_Careers!$K:$K,MATCH($O$3&amp;"|"&amp;$B$4,Data_Careers!$A:$A,0)),""))),ISNUMBER(SEARCH("|"&amp;TRIM(IFERROR(LEFT(M57,FIND("(",M57)-1),M57))&amp;" (any)|",IFERROR(INDEX(Data_Careers!$K:$K,MATCH($O$3&amp;"|"&amp;$B$4,Data_Careers!$A:$A,0)),"")))),"★",""))</f>
        <v/>
      </c>
      <c r="T57">
        <f>IF(M57="","",IFERROR(IFERROR(INDEX(Data_Talents!$D:$D,MATCH(M57,Data_Talents!$A:$A,0))&amp;"",INDEX(Data_Talents!$D:$D,MATCH(TRIM(IFERROR(LEFT(M57,FIND("(",M57)-1),M57)),Data_Talents!$B:$B,0))&amp;""),""))</f>
        <v/>
      </c>
      <c r="U57">
        <f>IF(M57="",0,IF(N(P57)=0,1,N(P57)))</f>
        <v/>
      </c>
    </row>
    <row r="58">
      <c r="A58" s="4" t="n"/>
      <c r="B58" s="15">
        <f>IF(A58="","",IFERROR(IFERROR(INDEX(Data_Skills!$C:$C,MATCH(A58,Data_Skills!$A:$A,0))&amp;"",INDEX(Data_Skills!$C:$C,MATCH(TRIM(IFERROR(LEFT(A58,FIND("(",A58)-1),A58)),Data_Skills!$B:$B,0))&amp;""),""))</f>
        <v/>
      </c>
      <c r="C58" s="15">
        <f>IF(B58="","",INDEX($B$16:$K$16,MATCH(B58,$B$10:$K$10,0)))</f>
        <v/>
      </c>
      <c r="D58" s="22" t="n"/>
      <c r="E58" s="11" t="n"/>
      <c r="F58" s="11" t="n"/>
      <c r="G58" s="17">
        <f>IF(OR(A58="",C58=""),"",C58+N(E58))</f>
        <v/>
      </c>
      <c r="H58" s="19">
        <f>IF(A58="","",IFERROR(MAX(0,2*INDEX(Data_Lists!$AG$2:$AG$17,N(E58)/5+1)-INDEX(Data_Lists!$AG$2:$AG$17,N(D58)/5+1)-INDEX(Data_Lists!$AG$2:$AG$17,(N(E58)-N(F58))/5+1)),"?"))</f>
        <v/>
      </c>
      <c r="I58" s="15">
        <f>IF(OR(A58="",$O$3=""),"",IF(OR(ISNUMBER(SEARCH("|"&amp;A58&amp;"|",IFERROR(INDEX(Data_Careers!$J:$J,MATCH($O$3&amp;"|"&amp;$B$4,Data_Careers!$A:$A,0)),""))),ISNUMBER(SEARCH("|"&amp;TRIM(IFERROR(LEFT(A58,FIND("(",A58)-1),A58))&amp;" (any)|",IFERROR(INDEX(Data_Careers!$J:$J,MATCH($O$3&amp;"|"&amp;$B$4,Data_Careers!$A:$A,0)),"")))),"★",""))</f>
        <v/>
      </c>
      <c r="M58" s="4" t="n"/>
      <c r="N58" s="5" t="n"/>
      <c r="O58" s="5" t="n"/>
      <c r="P58" s="11" t="n"/>
      <c r="Q58" s="11" t="n"/>
      <c r="R58" s="19">
        <f>IF(M58="","",IF(Q58="Yes",100*U58,0))</f>
        <v/>
      </c>
      <c r="S58" s="15">
        <f>IF(OR(M58="",$O$3=""),"",IF(OR(ISNUMBER(SEARCH("|"&amp;M58&amp;"|",IFERROR(INDEX(Data_Careers!$K:$K,MATCH($O$3&amp;"|"&amp;$B$4,Data_Careers!$A:$A,0)),""))),ISNUMBER(SEARCH("|"&amp;TRIM(IFERROR(LEFT(M58,FIND("(",M58)-1),M58))&amp;" (any)|",IFERROR(INDEX(Data_Careers!$K:$K,MATCH($O$3&amp;"|"&amp;$B$4,Data_Careers!$A:$A,0)),"")))),"★",""))</f>
        <v/>
      </c>
      <c r="T58">
        <f>IF(M58="","",IFERROR(IFERROR(INDEX(Data_Talents!$D:$D,MATCH(M58,Data_Talents!$A:$A,0))&amp;"",INDEX(Data_Talents!$D:$D,MATCH(TRIM(IFERROR(LEFT(M58,FIND("(",M58)-1),M58)),Data_Talents!$B:$B,0))&amp;""),""))</f>
        <v/>
      </c>
      <c r="U58">
        <f>IF(M58="",0,IF(N(P58)=0,1,N(P58)))</f>
        <v/>
      </c>
    </row>
    <row r="59">
      <c r="A59" s="4" t="n"/>
      <c r="B59" s="15">
        <f>IF(A59="","",IFERROR(IFERROR(INDEX(Data_Skills!$C:$C,MATCH(A59,Data_Skills!$A:$A,0))&amp;"",INDEX(Data_Skills!$C:$C,MATCH(TRIM(IFERROR(LEFT(A59,FIND("(",A59)-1),A59)),Data_Skills!$B:$B,0))&amp;""),""))</f>
        <v/>
      </c>
      <c r="C59" s="15">
        <f>IF(B59="","",INDEX($B$16:$K$16,MATCH(B59,$B$10:$K$10,0)))</f>
        <v/>
      </c>
      <c r="D59" s="22" t="n"/>
      <c r="E59" s="11" t="n"/>
      <c r="F59" s="11" t="n"/>
      <c r="G59" s="17">
        <f>IF(OR(A59="",C59=""),"",C59+N(E59))</f>
        <v/>
      </c>
      <c r="H59" s="19">
        <f>IF(A59="","",IFERROR(MAX(0,2*INDEX(Data_Lists!$AG$2:$AG$17,N(E59)/5+1)-INDEX(Data_Lists!$AG$2:$AG$17,N(D59)/5+1)-INDEX(Data_Lists!$AG$2:$AG$17,(N(E59)-N(F59))/5+1)),"?"))</f>
        <v/>
      </c>
      <c r="I59" s="15">
        <f>IF(OR(A59="",$O$3=""),"",IF(OR(ISNUMBER(SEARCH("|"&amp;A59&amp;"|",IFERROR(INDEX(Data_Careers!$J:$J,MATCH($O$3&amp;"|"&amp;$B$4,Data_Careers!$A:$A,0)),""))),ISNUMBER(SEARCH("|"&amp;TRIM(IFERROR(LEFT(A59,FIND("(",A59)-1),A59))&amp;" (any)|",IFERROR(INDEX(Data_Careers!$J:$J,MATCH($O$3&amp;"|"&amp;$B$4,Data_Careers!$A:$A,0)),"")))),"★",""))</f>
        <v/>
      </c>
      <c r="M59" s="4" t="n"/>
      <c r="N59" s="5" t="n"/>
      <c r="O59" s="5" t="n"/>
      <c r="P59" s="11" t="n"/>
      <c r="Q59" s="11" t="n"/>
      <c r="R59" s="19">
        <f>IF(M59="","",IF(Q59="Yes",100*U59,0))</f>
        <v/>
      </c>
      <c r="S59" s="15">
        <f>IF(OR(M59="",$O$3=""),"",IF(OR(ISNUMBER(SEARCH("|"&amp;M59&amp;"|",IFERROR(INDEX(Data_Careers!$K:$K,MATCH($O$3&amp;"|"&amp;$B$4,Data_Careers!$A:$A,0)),""))),ISNUMBER(SEARCH("|"&amp;TRIM(IFERROR(LEFT(M59,FIND("(",M59)-1),M59))&amp;" (any)|",IFERROR(INDEX(Data_Careers!$K:$K,MATCH($O$3&amp;"|"&amp;$B$4,Data_Careers!$A:$A,0)),"")))),"★",""))</f>
        <v/>
      </c>
      <c r="T59">
        <f>IF(M59="","",IFERROR(IFERROR(INDEX(Data_Talents!$D:$D,MATCH(M59,Data_Talents!$A:$A,0))&amp;"",INDEX(Data_Talents!$D:$D,MATCH(TRIM(IFERROR(LEFT(M59,FIND("(",M59)-1),M59)),Data_Talents!$B:$B,0))&amp;""),""))</f>
        <v/>
      </c>
      <c r="U59">
        <f>IF(M59="",0,IF(N(P59)=0,1,N(P59)))</f>
        <v/>
      </c>
    </row>
    <row r="60">
      <c r="A60" s="4" t="n"/>
      <c r="B60" s="15">
        <f>IF(A60="","",IFERROR(IFERROR(INDEX(Data_Skills!$C:$C,MATCH(A60,Data_Skills!$A:$A,0))&amp;"",INDEX(Data_Skills!$C:$C,MATCH(TRIM(IFERROR(LEFT(A60,FIND("(",A60)-1),A60)),Data_Skills!$B:$B,0))&amp;""),""))</f>
        <v/>
      </c>
      <c r="C60" s="15">
        <f>IF(B60="","",INDEX($B$16:$K$16,MATCH(B60,$B$10:$K$10,0)))</f>
        <v/>
      </c>
      <c r="D60" s="22" t="n"/>
      <c r="E60" s="11" t="n"/>
      <c r="F60" s="11" t="n"/>
      <c r="G60" s="17">
        <f>IF(OR(A60="",C60=""),"",C60+N(E60))</f>
        <v/>
      </c>
      <c r="H60" s="19">
        <f>IF(A60="","",IFERROR(MAX(0,2*INDEX(Data_Lists!$AG$2:$AG$17,N(E60)/5+1)-INDEX(Data_Lists!$AG$2:$AG$17,N(D60)/5+1)-INDEX(Data_Lists!$AG$2:$AG$17,(N(E60)-N(F60))/5+1)),"?"))</f>
        <v/>
      </c>
      <c r="I60" s="15">
        <f>IF(OR(A60="",$O$3=""),"",IF(OR(ISNUMBER(SEARCH("|"&amp;A60&amp;"|",IFERROR(INDEX(Data_Careers!$J:$J,MATCH($O$3&amp;"|"&amp;$B$4,Data_Careers!$A:$A,0)),""))),ISNUMBER(SEARCH("|"&amp;TRIM(IFERROR(LEFT(A60,FIND("(",A60)-1),A60))&amp;" (any)|",IFERROR(INDEX(Data_Careers!$J:$J,MATCH($O$3&amp;"|"&amp;$B$4,Data_Careers!$A:$A,0)),"")))),"★",""))</f>
        <v/>
      </c>
      <c r="M60" s="4" t="n"/>
      <c r="N60" s="5" t="n"/>
      <c r="O60" s="5" t="n"/>
      <c r="P60" s="11" t="n"/>
      <c r="Q60" s="11" t="n"/>
      <c r="R60" s="19">
        <f>IF(M60="","",IF(Q60="Yes",100*U60,0))</f>
        <v/>
      </c>
      <c r="S60" s="15">
        <f>IF(OR(M60="",$O$3=""),"",IF(OR(ISNUMBER(SEARCH("|"&amp;M60&amp;"|",IFERROR(INDEX(Data_Careers!$K:$K,MATCH($O$3&amp;"|"&amp;$B$4,Data_Careers!$A:$A,0)),""))),ISNUMBER(SEARCH("|"&amp;TRIM(IFERROR(LEFT(M60,FIND("(",M60)-1),M60))&amp;" (any)|",IFERROR(INDEX(Data_Careers!$K:$K,MATCH($O$3&amp;"|"&amp;$B$4,Data_Careers!$A:$A,0)),"")))),"★",""))</f>
        <v/>
      </c>
      <c r="T60">
        <f>IF(M60="","",IFERROR(IFERROR(INDEX(Data_Talents!$D:$D,MATCH(M60,Data_Talents!$A:$A,0))&amp;"",INDEX(Data_Talents!$D:$D,MATCH(TRIM(IFERROR(LEFT(M60,FIND("(",M60)-1),M60)),Data_Talents!$B:$B,0))&amp;""),""))</f>
        <v/>
      </c>
      <c r="U60">
        <f>IF(M60="",0,IF(N(P60)=0,1,N(P60)))</f>
        <v/>
      </c>
    </row>
    <row r="61">
      <c r="A61" s="4" t="n"/>
      <c r="B61" s="15">
        <f>IF(A61="","",IFERROR(IFERROR(INDEX(Data_Skills!$C:$C,MATCH(A61,Data_Skills!$A:$A,0))&amp;"",INDEX(Data_Skills!$C:$C,MATCH(TRIM(IFERROR(LEFT(A61,FIND("(",A61)-1),A61)),Data_Skills!$B:$B,0))&amp;""),""))</f>
        <v/>
      </c>
      <c r="C61" s="15">
        <f>IF(B61="","",INDEX($B$16:$K$16,MATCH(B61,$B$10:$K$10,0)))</f>
        <v/>
      </c>
      <c r="D61" s="22" t="n"/>
      <c r="E61" s="11" t="n"/>
      <c r="F61" s="11" t="n"/>
      <c r="G61" s="17">
        <f>IF(OR(A61="",C61=""),"",C61+N(E61))</f>
        <v/>
      </c>
      <c r="H61" s="19">
        <f>IF(A61="","",IFERROR(MAX(0,2*INDEX(Data_Lists!$AG$2:$AG$17,N(E61)/5+1)-INDEX(Data_Lists!$AG$2:$AG$17,N(D61)/5+1)-INDEX(Data_Lists!$AG$2:$AG$17,(N(E61)-N(F61))/5+1)),"?"))</f>
        <v/>
      </c>
      <c r="I61" s="15">
        <f>IF(OR(A61="",$O$3=""),"",IF(OR(ISNUMBER(SEARCH("|"&amp;A61&amp;"|",IFERROR(INDEX(Data_Careers!$J:$J,MATCH($O$3&amp;"|"&amp;$B$4,Data_Careers!$A:$A,0)),""))),ISNUMBER(SEARCH("|"&amp;TRIM(IFERROR(LEFT(A61,FIND("(",A61)-1),A61))&amp;" (any)|",IFERROR(INDEX(Data_Careers!$J:$J,MATCH($O$3&amp;"|"&amp;$B$4,Data_Careers!$A:$A,0)),"")))),"★",""))</f>
        <v/>
      </c>
      <c r="M61" s="4" t="n"/>
      <c r="N61" s="5" t="n"/>
      <c r="O61" s="5" t="n"/>
      <c r="P61" s="11" t="n"/>
      <c r="Q61" s="11" t="n"/>
      <c r="R61" s="19">
        <f>IF(M61="","",IF(Q61="Yes",100*U61,0))</f>
        <v/>
      </c>
      <c r="S61" s="15">
        <f>IF(OR(M61="",$O$3=""),"",IF(OR(ISNUMBER(SEARCH("|"&amp;M61&amp;"|",IFERROR(INDEX(Data_Careers!$K:$K,MATCH($O$3&amp;"|"&amp;$B$4,Data_Careers!$A:$A,0)),""))),ISNUMBER(SEARCH("|"&amp;TRIM(IFERROR(LEFT(M61,FIND("(",M61)-1),M61))&amp;" (any)|",IFERROR(INDEX(Data_Careers!$K:$K,MATCH($O$3&amp;"|"&amp;$B$4,Data_Careers!$A:$A,0)),"")))),"★",""))</f>
        <v/>
      </c>
      <c r="T61">
        <f>IF(M61="","",IFERROR(IFERROR(INDEX(Data_Talents!$D:$D,MATCH(M61,Data_Talents!$A:$A,0))&amp;"",INDEX(Data_Talents!$D:$D,MATCH(TRIM(IFERROR(LEFT(M61,FIND("(",M61)-1),M61)),Data_Talents!$B:$B,0))&amp;""),""))</f>
        <v/>
      </c>
      <c r="U61">
        <f>IF(M61="",0,IF(N(P61)=0,1,N(P61)))</f>
        <v/>
      </c>
    </row>
    <row r="62">
      <c r="A62" s="4" t="n"/>
      <c r="B62" s="15">
        <f>IF(A62="","",IFERROR(IFERROR(INDEX(Data_Skills!$C:$C,MATCH(A62,Data_Skills!$A:$A,0))&amp;"",INDEX(Data_Skills!$C:$C,MATCH(TRIM(IFERROR(LEFT(A62,FIND("(",A62)-1),A62)),Data_Skills!$B:$B,0))&amp;""),""))</f>
        <v/>
      </c>
      <c r="C62" s="15">
        <f>IF(B62="","",INDEX($B$16:$K$16,MATCH(B62,$B$10:$K$10,0)))</f>
        <v/>
      </c>
      <c r="D62" s="22" t="n"/>
      <c r="E62" s="11" t="n"/>
      <c r="F62" s="11" t="n"/>
      <c r="G62" s="17">
        <f>IF(OR(A62="",C62=""),"",C62+N(E62))</f>
        <v/>
      </c>
      <c r="H62" s="19">
        <f>IF(A62="","",IFERROR(MAX(0,2*INDEX(Data_Lists!$AG$2:$AG$17,N(E62)/5+1)-INDEX(Data_Lists!$AG$2:$AG$17,N(D62)/5+1)-INDEX(Data_Lists!$AG$2:$AG$17,(N(E62)-N(F62))/5+1)),"?"))</f>
        <v/>
      </c>
      <c r="I62" s="15">
        <f>IF(OR(A62="",$O$3=""),"",IF(OR(ISNUMBER(SEARCH("|"&amp;A62&amp;"|",IFERROR(INDEX(Data_Careers!$J:$J,MATCH($O$3&amp;"|"&amp;$B$4,Data_Careers!$A:$A,0)),""))),ISNUMBER(SEARCH("|"&amp;TRIM(IFERROR(LEFT(A62,FIND("(",A62)-1),A62))&amp;" (any)|",IFERROR(INDEX(Data_Careers!$J:$J,MATCH($O$3&amp;"|"&amp;$B$4,Data_Careers!$A:$A,0)),"")))),"★",""))</f>
        <v/>
      </c>
      <c r="M62" s="4" t="n"/>
      <c r="N62" s="5" t="n"/>
      <c r="O62" s="5" t="n"/>
      <c r="P62" s="11" t="n"/>
      <c r="Q62" s="11" t="n"/>
      <c r="R62" s="19">
        <f>IF(M62="","",IF(Q62="Yes",100*U62,0))</f>
        <v/>
      </c>
      <c r="S62" s="15">
        <f>IF(OR(M62="",$O$3=""),"",IF(OR(ISNUMBER(SEARCH("|"&amp;M62&amp;"|",IFERROR(INDEX(Data_Careers!$K:$K,MATCH($O$3&amp;"|"&amp;$B$4,Data_Careers!$A:$A,0)),""))),ISNUMBER(SEARCH("|"&amp;TRIM(IFERROR(LEFT(M62,FIND("(",M62)-1),M62))&amp;" (any)|",IFERROR(INDEX(Data_Careers!$K:$K,MATCH($O$3&amp;"|"&amp;$B$4,Data_Careers!$A:$A,0)),"")))),"★",""))</f>
        <v/>
      </c>
      <c r="T62">
        <f>IF(M62="","",IFERROR(IFERROR(INDEX(Data_Talents!$D:$D,MATCH(M62,Data_Talents!$A:$A,0))&amp;"",INDEX(Data_Talents!$D:$D,MATCH(TRIM(IFERROR(LEFT(M62,FIND("(",M62)-1),M62)),Data_Talents!$B:$B,0))&amp;""),""))</f>
        <v/>
      </c>
      <c r="U62">
        <f>IF(M62="",0,IF(N(P62)=0,1,N(P62)))</f>
        <v/>
      </c>
    </row>
    <row r="63">
      <c r="A63" s="4" t="n"/>
      <c r="B63" s="15">
        <f>IF(A63="","",IFERROR(IFERROR(INDEX(Data_Skills!$C:$C,MATCH(A63,Data_Skills!$A:$A,0))&amp;"",INDEX(Data_Skills!$C:$C,MATCH(TRIM(IFERROR(LEFT(A63,FIND("(",A63)-1),A63)),Data_Skills!$B:$B,0))&amp;""),""))</f>
        <v/>
      </c>
      <c r="C63" s="15">
        <f>IF(B63="","",INDEX($B$16:$K$16,MATCH(B63,$B$10:$K$10,0)))</f>
        <v/>
      </c>
      <c r="D63" s="22" t="n"/>
      <c r="E63" s="11" t="n"/>
      <c r="F63" s="11" t="n"/>
      <c r="G63" s="17">
        <f>IF(OR(A63="",C63=""),"",C63+N(E63))</f>
        <v/>
      </c>
      <c r="H63" s="19">
        <f>IF(A63="","",IFERROR(MAX(0,2*INDEX(Data_Lists!$AG$2:$AG$17,N(E63)/5+1)-INDEX(Data_Lists!$AG$2:$AG$17,N(D63)/5+1)-INDEX(Data_Lists!$AG$2:$AG$17,(N(E63)-N(F63))/5+1)),"?"))</f>
        <v/>
      </c>
      <c r="I63" s="15">
        <f>IF(OR(A63="",$O$3=""),"",IF(OR(ISNUMBER(SEARCH("|"&amp;A63&amp;"|",IFERROR(INDEX(Data_Careers!$J:$J,MATCH($O$3&amp;"|"&amp;$B$4,Data_Careers!$A:$A,0)),""))),ISNUMBER(SEARCH("|"&amp;TRIM(IFERROR(LEFT(A63,FIND("(",A63)-1),A63))&amp;" (any)|",IFERROR(INDEX(Data_Careers!$J:$J,MATCH($O$3&amp;"|"&amp;$B$4,Data_Careers!$A:$A,0)),"")))),"★",""))</f>
        <v/>
      </c>
      <c r="M63" s="4" t="n"/>
      <c r="N63" s="5" t="n"/>
      <c r="O63" s="5" t="n"/>
      <c r="P63" s="11" t="n"/>
      <c r="Q63" s="11" t="n"/>
      <c r="R63" s="19">
        <f>IF(M63="","",IF(Q63="Yes",100*U63,0))</f>
        <v/>
      </c>
      <c r="S63" s="15">
        <f>IF(OR(M63="",$O$3=""),"",IF(OR(ISNUMBER(SEARCH("|"&amp;M63&amp;"|",IFERROR(INDEX(Data_Careers!$K:$K,MATCH($O$3&amp;"|"&amp;$B$4,Data_Careers!$A:$A,0)),""))),ISNUMBER(SEARCH("|"&amp;TRIM(IFERROR(LEFT(M63,FIND("(",M63)-1),M63))&amp;" (any)|",IFERROR(INDEX(Data_Careers!$K:$K,MATCH($O$3&amp;"|"&amp;$B$4,Data_Careers!$A:$A,0)),"")))),"★",""))</f>
        <v/>
      </c>
      <c r="T63">
        <f>IF(M63="","",IFERROR(IFERROR(INDEX(Data_Talents!$D:$D,MATCH(M63,Data_Talents!$A:$A,0))&amp;"",INDEX(Data_Talents!$D:$D,MATCH(TRIM(IFERROR(LEFT(M63,FIND("(",M63)-1),M63)),Data_Talents!$B:$B,0))&amp;""),""))</f>
        <v/>
      </c>
      <c r="U63">
        <f>IF(M63="",0,IF(N(P63)=0,1,N(P63)))</f>
        <v/>
      </c>
    </row>
    <row r="64">
      <c r="A64" s="4" t="n"/>
      <c r="B64" s="15">
        <f>IF(A64="","",IFERROR(IFERROR(INDEX(Data_Skills!$C:$C,MATCH(A64,Data_Skills!$A:$A,0))&amp;"",INDEX(Data_Skills!$C:$C,MATCH(TRIM(IFERROR(LEFT(A64,FIND("(",A64)-1),A64)),Data_Skills!$B:$B,0))&amp;""),""))</f>
        <v/>
      </c>
      <c r="C64" s="15">
        <f>IF(B64="","",INDEX($B$16:$K$16,MATCH(B64,$B$10:$K$10,0)))</f>
        <v/>
      </c>
      <c r="D64" s="22" t="n"/>
      <c r="E64" s="11" t="n"/>
      <c r="F64" s="11" t="n"/>
      <c r="G64" s="17">
        <f>IF(OR(A64="",C64=""),"",C64+N(E64))</f>
        <v/>
      </c>
      <c r="H64" s="19">
        <f>IF(A64="","",IFERROR(MAX(0,2*INDEX(Data_Lists!$AG$2:$AG$17,N(E64)/5+1)-INDEX(Data_Lists!$AG$2:$AG$17,N(D64)/5+1)-INDEX(Data_Lists!$AG$2:$AG$17,(N(E64)-N(F64))/5+1)),"?"))</f>
        <v/>
      </c>
      <c r="I64" s="15">
        <f>IF(OR(A64="",$O$3=""),"",IF(OR(ISNUMBER(SEARCH("|"&amp;A64&amp;"|",IFERROR(INDEX(Data_Careers!$J:$J,MATCH($O$3&amp;"|"&amp;$B$4,Data_Careers!$A:$A,0)),""))),ISNUMBER(SEARCH("|"&amp;TRIM(IFERROR(LEFT(A64,FIND("(",A64)-1),A64))&amp;" (any)|",IFERROR(INDEX(Data_Careers!$J:$J,MATCH($O$3&amp;"|"&amp;$B$4,Data_Careers!$A:$A,0)),"")))),"★",""))</f>
        <v/>
      </c>
      <c r="M64" s="4" t="n"/>
      <c r="N64" s="5" t="n"/>
      <c r="O64" s="5" t="n"/>
      <c r="P64" s="11" t="n"/>
      <c r="Q64" s="11" t="n"/>
      <c r="R64" s="19">
        <f>IF(M64="","",IF(Q64="Yes",100*U64,0))</f>
        <v/>
      </c>
      <c r="S64" s="15">
        <f>IF(OR(M64="",$O$3=""),"",IF(OR(ISNUMBER(SEARCH("|"&amp;M64&amp;"|",IFERROR(INDEX(Data_Careers!$K:$K,MATCH($O$3&amp;"|"&amp;$B$4,Data_Careers!$A:$A,0)),""))),ISNUMBER(SEARCH("|"&amp;TRIM(IFERROR(LEFT(M64,FIND("(",M64)-1),M64))&amp;" (any)|",IFERROR(INDEX(Data_Careers!$K:$K,MATCH($O$3&amp;"|"&amp;$B$4,Data_Careers!$A:$A,0)),"")))),"★",""))</f>
        <v/>
      </c>
      <c r="T64">
        <f>IF(M64="","",IFERROR(IFERROR(INDEX(Data_Talents!$D:$D,MATCH(M64,Data_Talents!$A:$A,0))&amp;"",INDEX(Data_Talents!$D:$D,MATCH(TRIM(IFERROR(LEFT(M64,FIND("(",M64)-1),M64)),Data_Talents!$B:$B,0))&amp;""),""))</f>
        <v/>
      </c>
      <c r="U64">
        <f>IF(M64="",0,IF(N(P64)=0,1,N(P64)))</f>
        <v/>
      </c>
    </row>
    <row r="65">
      <c r="A65" s="4" t="n"/>
      <c r="B65" s="15">
        <f>IF(A65="","",IFERROR(IFERROR(INDEX(Data_Skills!$C:$C,MATCH(A65,Data_Skills!$A:$A,0))&amp;"",INDEX(Data_Skills!$C:$C,MATCH(TRIM(IFERROR(LEFT(A65,FIND("(",A65)-1),A65)),Data_Skills!$B:$B,0))&amp;""),""))</f>
        <v/>
      </c>
      <c r="C65" s="15">
        <f>IF(B65="","",INDEX($B$16:$K$16,MATCH(B65,$B$10:$K$10,0)))</f>
        <v/>
      </c>
      <c r="D65" s="22" t="n"/>
      <c r="E65" s="11" t="n"/>
      <c r="F65" s="11" t="n"/>
      <c r="G65" s="17">
        <f>IF(OR(A65="",C65=""),"",C65+N(E65))</f>
        <v/>
      </c>
      <c r="H65" s="19">
        <f>IF(A65="","",IFERROR(MAX(0,2*INDEX(Data_Lists!$AG$2:$AG$17,N(E65)/5+1)-INDEX(Data_Lists!$AG$2:$AG$17,N(D65)/5+1)-INDEX(Data_Lists!$AG$2:$AG$17,(N(E65)-N(F65))/5+1)),"?"))</f>
        <v/>
      </c>
      <c r="I65" s="15">
        <f>IF(OR(A65="",$O$3=""),"",IF(OR(ISNUMBER(SEARCH("|"&amp;A65&amp;"|",IFERROR(INDEX(Data_Careers!$J:$J,MATCH($O$3&amp;"|"&amp;$B$4,Data_Careers!$A:$A,0)),""))),ISNUMBER(SEARCH("|"&amp;TRIM(IFERROR(LEFT(A65,FIND("(",A65)-1),A65))&amp;" (any)|",IFERROR(INDEX(Data_Careers!$J:$J,MATCH($O$3&amp;"|"&amp;$B$4,Data_Careers!$A:$A,0)),"")))),"★",""))</f>
        <v/>
      </c>
      <c r="M65" s="4" t="n"/>
      <c r="N65" s="5" t="n"/>
      <c r="O65" s="5" t="n"/>
      <c r="P65" s="11" t="n"/>
      <c r="Q65" s="11" t="n"/>
      <c r="R65" s="19">
        <f>IF(M65="","",IF(Q65="Yes",100*U65,0))</f>
        <v/>
      </c>
      <c r="S65" s="15">
        <f>IF(OR(M65="",$O$3=""),"",IF(OR(ISNUMBER(SEARCH("|"&amp;M65&amp;"|",IFERROR(INDEX(Data_Careers!$K:$K,MATCH($O$3&amp;"|"&amp;$B$4,Data_Careers!$A:$A,0)),""))),ISNUMBER(SEARCH("|"&amp;TRIM(IFERROR(LEFT(M65,FIND("(",M65)-1),M65))&amp;" (any)|",IFERROR(INDEX(Data_Careers!$K:$K,MATCH($O$3&amp;"|"&amp;$B$4,Data_Careers!$A:$A,0)),"")))),"★",""))</f>
        <v/>
      </c>
      <c r="T65">
        <f>IF(M65="","",IFERROR(IFERROR(INDEX(Data_Talents!$D:$D,MATCH(M65,Data_Talents!$A:$A,0))&amp;"",INDEX(Data_Talents!$D:$D,MATCH(TRIM(IFERROR(LEFT(M65,FIND("(",M65)-1),M65)),Data_Talents!$B:$B,0))&amp;""),""))</f>
        <v/>
      </c>
      <c r="U65">
        <f>IF(M65="",0,IF(N(P65)=0,1,N(P65)))</f>
        <v/>
      </c>
    </row>
    <row r="66">
      <c r="A66" s="4" t="n"/>
      <c r="B66" s="15">
        <f>IF(A66="","",IFERROR(IFERROR(INDEX(Data_Skills!$C:$C,MATCH(A66,Data_Skills!$A:$A,0))&amp;"",INDEX(Data_Skills!$C:$C,MATCH(TRIM(IFERROR(LEFT(A66,FIND("(",A66)-1),A66)),Data_Skills!$B:$B,0))&amp;""),""))</f>
        <v/>
      </c>
      <c r="C66" s="15">
        <f>IF(B66="","",INDEX($B$16:$K$16,MATCH(B66,$B$10:$K$10,0)))</f>
        <v/>
      </c>
      <c r="D66" s="22" t="n"/>
      <c r="E66" s="11" t="n"/>
      <c r="F66" s="11" t="n"/>
      <c r="G66" s="17">
        <f>IF(OR(A66="",C66=""),"",C66+N(E66))</f>
        <v/>
      </c>
      <c r="H66" s="19">
        <f>IF(A66="","",IFERROR(MAX(0,2*INDEX(Data_Lists!$AG$2:$AG$17,N(E66)/5+1)-INDEX(Data_Lists!$AG$2:$AG$17,N(D66)/5+1)-INDEX(Data_Lists!$AG$2:$AG$17,(N(E66)-N(F66))/5+1)),"?"))</f>
        <v/>
      </c>
      <c r="I66" s="15">
        <f>IF(OR(A66="",$O$3=""),"",IF(OR(ISNUMBER(SEARCH("|"&amp;A66&amp;"|",IFERROR(INDEX(Data_Careers!$J:$J,MATCH($O$3&amp;"|"&amp;$B$4,Data_Careers!$A:$A,0)),""))),ISNUMBER(SEARCH("|"&amp;TRIM(IFERROR(LEFT(A66,FIND("(",A66)-1),A66))&amp;" (any)|",IFERROR(INDEX(Data_Careers!$J:$J,MATCH($O$3&amp;"|"&amp;$B$4,Data_Careers!$A:$A,0)),"")))),"★",""))</f>
        <v/>
      </c>
      <c r="M66" s="4" t="n"/>
      <c r="N66" s="5" t="n"/>
      <c r="O66" s="5" t="n"/>
      <c r="P66" s="11" t="n"/>
      <c r="Q66" s="11" t="n"/>
      <c r="R66" s="19">
        <f>IF(M66="","",IF(Q66="Yes",100*U66,0))</f>
        <v/>
      </c>
      <c r="S66" s="15">
        <f>IF(OR(M66="",$O$3=""),"",IF(OR(ISNUMBER(SEARCH("|"&amp;M66&amp;"|",IFERROR(INDEX(Data_Careers!$K:$K,MATCH($O$3&amp;"|"&amp;$B$4,Data_Careers!$A:$A,0)),""))),ISNUMBER(SEARCH("|"&amp;TRIM(IFERROR(LEFT(M66,FIND("(",M66)-1),M66))&amp;" (any)|",IFERROR(INDEX(Data_Careers!$K:$K,MATCH($O$3&amp;"|"&amp;$B$4,Data_Careers!$A:$A,0)),"")))),"★",""))</f>
        <v/>
      </c>
      <c r="T66">
        <f>IF(M66="","",IFERROR(IFERROR(INDEX(Data_Talents!$D:$D,MATCH(M66,Data_Talents!$A:$A,0))&amp;"",INDEX(Data_Talents!$D:$D,MATCH(TRIM(IFERROR(LEFT(M66,FIND("(",M66)-1),M66)),Data_Talents!$B:$B,0))&amp;""),""))</f>
        <v/>
      </c>
      <c r="U66">
        <f>IF(M66="",0,IF(N(P66)=0,1,N(P66)))</f>
        <v/>
      </c>
    </row>
    <row r="67">
      <c r="A67" s="4" t="n"/>
      <c r="B67" s="15">
        <f>IF(A67="","",IFERROR(IFERROR(INDEX(Data_Skills!$C:$C,MATCH(A67,Data_Skills!$A:$A,0))&amp;"",INDEX(Data_Skills!$C:$C,MATCH(TRIM(IFERROR(LEFT(A67,FIND("(",A67)-1),A67)),Data_Skills!$B:$B,0))&amp;""),""))</f>
        <v/>
      </c>
      <c r="C67" s="15">
        <f>IF(B67="","",INDEX($B$16:$K$16,MATCH(B67,$B$10:$K$10,0)))</f>
        <v/>
      </c>
      <c r="D67" s="22" t="n"/>
      <c r="E67" s="11" t="n"/>
      <c r="F67" s="11" t="n"/>
      <c r="G67" s="17">
        <f>IF(OR(A67="",C67=""),"",C67+N(E67))</f>
        <v/>
      </c>
      <c r="H67" s="19">
        <f>IF(A67="","",IFERROR(MAX(0,2*INDEX(Data_Lists!$AG$2:$AG$17,N(E67)/5+1)-INDEX(Data_Lists!$AG$2:$AG$17,N(D67)/5+1)-INDEX(Data_Lists!$AG$2:$AG$17,(N(E67)-N(F67))/5+1)),"?"))</f>
        <v/>
      </c>
      <c r="I67" s="15">
        <f>IF(OR(A67="",$O$3=""),"",IF(OR(ISNUMBER(SEARCH("|"&amp;A67&amp;"|",IFERROR(INDEX(Data_Careers!$J:$J,MATCH($O$3&amp;"|"&amp;$B$4,Data_Careers!$A:$A,0)),""))),ISNUMBER(SEARCH("|"&amp;TRIM(IFERROR(LEFT(A67,FIND("(",A67)-1),A67))&amp;" (any)|",IFERROR(INDEX(Data_Careers!$J:$J,MATCH($O$3&amp;"|"&amp;$B$4,Data_Careers!$A:$A,0)),"")))),"★",""))</f>
        <v/>
      </c>
      <c r="M67" s="4" t="n"/>
      <c r="N67" s="5" t="n"/>
      <c r="O67" s="5" t="n"/>
      <c r="P67" s="11" t="n"/>
      <c r="Q67" s="11" t="n"/>
      <c r="R67" s="19">
        <f>IF(M67="","",IF(Q67="Yes",100*U67,0))</f>
        <v/>
      </c>
      <c r="S67" s="15">
        <f>IF(OR(M67="",$O$3=""),"",IF(OR(ISNUMBER(SEARCH("|"&amp;M67&amp;"|",IFERROR(INDEX(Data_Careers!$K:$K,MATCH($O$3&amp;"|"&amp;$B$4,Data_Careers!$A:$A,0)),""))),ISNUMBER(SEARCH("|"&amp;TRIM(IFERROR(LEFT(M67,FIND("(",M67)-1),M67))&amp;" (any)|",IFERROR(INDEX(Data_Careers!$K:$K,MATCH($O$3&amp;"|"&amp;$B$4,Data_Careers!$A:$A,0)),"")))),"★",""))</f>
        <v/>
      </c>
      <c r="T67">
        <f>IF(M67="","",IFERROR(IFERROR(INDEX(Data_Talents!$D:$D,MATCH(M67,Data_Talents!$A:$A,0))&amp;"",INDEX(Data_Talents!$D:$D,MATCH(TRIM(IFERROR(LEFT(M67,FIND("(",M67)-1),M67)),Data_Talents!$B:$B,0))&amp;""),""))</f>
        <v/>
      </c>
      <c r="U67">
        <f>IF(M67="",0,IF(N(P67)=0,1,N(P67)))</f>
        <v/>
      </c>
    </row>
    <row r="68">
      <c r="A68" s="4" t="n"/>
      <c r="B68" s="15">
        <f>IF(A68="","",IFERROR(IFERROR(INDEX(Data_Skills!$C:$C,MATCH(A68,Data_Skills!$A:$A,0))&amp;"",INDEX(Data_Skills!$C:$C,MATCH(TRIM(IFERROR(LEFT(A68,FIND("(",A68)-1),A68)),Data_Skills!$B:$B,0))&amp;""),""))</f>
        <v/>
      </c>
      <c r="C68" s="15">
        <f>IF(B68="","",INDEX($B$16:$K$16,MATCH(B68,$B$10:$K$10,0)))</f>
        <v/>
      </c>
      <c r="D68" s="22" t="n"/>
      <c r="E68" s="11" t="n"/>
      <c r="F68" s="11" t="n"/>
      <c r="G68" s="17">
        <f>IF(OR(A68="",C68=""),"",C68+N(E68))</f>
        <v/>
      </c>
      <c r="H68" s="19">
        <f>IF(A68="","",IFERROR(MAX(0,2*INDEX(Data_Lists!$AG$2:$AG$17,N(E68)/5+1)-INDEX(Data_Lists!$AG$2:$AG$17,N(D68)/5+1)-INDEX(Data_Lists!$AG$2:$AG$17,(N(E68)-N(F68))/5+1)),"?"))</f>
        <v/>
      </c>
      <c r="I68" s="15">
        <f>IF(OR(A68="",$O$3=""),"",IF(OR(ISNUMBER(SEARCH("|"&amp;A68&amp;"|",IFERROR(INDEX(Data_Careers!$J:$J,MATCH($O$3&amp;"|"&amp;$B$4,Data_Careers!$A:$A,0)),""))),ISNUMBER(SEARCH("|"&amp;TRIM(IFERROR(LEFT(A68,FIND("(",A68)-1),A68))&amp;" (any)|",IFERROR(INDEX(Data_Careers!$J:$J,MATCH($O$3&amp;"|"&amp;$B$4,Data_Careers!$A:$A,0)),"")))),"★",""))</f>
        <v/>
      </c>
      <c r="M68" s="4" t="n"/>
      <c r="N68" s="5" t="n"/>
      <c r="O68" s="5" t="n"/>
      <c r="P68" s="11" t="n"/>
      <c r="Q68" s="11" t="n"/>
      <c r="R68" s="19">
        <f>IF(M68="","",IF(Q68="Yes",100*U68,0))</f>
        <v/>
      </c>
      <c r="S68" s="15">
        <f>IF(OR(M68="",$O$3=""),"",IF(OR(ISNUMBER(SEARCH("|"&amp;M68&amp;"|",IFERROR(INDEX(Data_Careers!$K:$K,MATCH($O$3&amp;"|"&amp;$B$4,Data_Careers!$A:$A,0)),""))),ISNUMBER(SEARCH("|"&amp;TRIM(IFERROR(LEFT(M68,FIND("(",M68)-1),M68))&amp;" (any)|",IFERROR(INDEX(Data_Careers!$K:$K,MATCH($O$3&amp;"|"&amp;$B$4,Data_Careers!$A:$A,0)),"")))),"★",""))</f>
        <v/>
      </c>
      <c r="T68">
        <f>IF(M68="","",IFERROR(IFERROR(INDEX(Data_Talents!$D:$D,MATCH(M68,Data_Talents!$A:$A,0))&amp;"",INDEX(Data_Talents!$D:$D,MATCH(TRIM(IFERROR(LEFT(M68,FIND("(",M68)-1),M68)),Data_Talents!$B:$B,0))&amp;""),""))</f>
        <v/>
      </c>
      <c r="U68">
        <f>IF(M68="",0,IF(N(P68)=0,1,N(P68)))</f>
        <v/>
      </c>
    </row>
    <row r="69">
      <c r="A69" s="4" t="n"/>
      <c r="B69" s="15">
        <f>IF(A69="","",IFERROR(IFERROR(INDEX(Data_Skills!$C:$C,MATCH(A69,Data_Skills!$A:$A,0))&amp;"",INDEX(Data_Skills!$C:$C,MATCH(TRIM(IFERROR(LEFT(A69,FIND("(",A69)-1),A69)),Data_Skills!$B:$B,0))&amp;""),""))</f>
        <v/>
      </c>
      <c r="C69" s="15">
        <f>IF(B69="","",INDEX($B$16:$K$16,MATCH(B69,$B$10:$K$10,0)))</f>
        <v/>
      </c>
      <c r="D69" s="22" t="n"/>
      <c r="E69" s="11" t="n"/>
      <c r="F69" s="11" t="n"/>
      <c r="G69" s="17">
        <f>IF(OR(A69="",C69=""),"",C69+N(E69))</f>
        <v/>
      </c>
      <c r="H69" s="19">
        <f>IF(A69="","",IFERROR(MAX(0,2*INDEX(Data_Lists!$AG$2:$AG$17,N(E69)/5+1)-INDEX(Data_Lists!$AG$2:$AG$17,N(D69)/5+1)-INDEX(Data_Lists!$AG$2:$AG$17,(N(E69)-N(F69))/5+1)),"?"))</f>
        <v/>
      </c>
      <c r="I69" s="15">
        <f>IF(OR(A69="",$O$3=""),"",IF(OR(ISNUMBER(SEARCH("|"&amp;A69&amp;"|",IFERROR(INDEX(Data_Careers!$J:$J,MATCH($O$3&amp;"|"&amp;$B$4,Data_Careers!$A:$A,0)),""))),ISNUMBER(SEARCH("|"&amp;TRIM(IFERROR(LEFT(A69,FIND("(",A69)-1),A69))&amp;" (any)|",IFERROR(INDEX(Data_Careers!$J:$J,MATCH($O$3&amp;"|"&amp;$B$4,Data_Careers!$A:$A,0)),"")))),"★",""))</f>
        <v/>
      </c>
      <c r="M69" s="4" t="n"/>
      <c r="N69" s="5" t="n"/>
      <c r="O69" s="5" t="n"/>
      <c r="P69" s="11" t="n"/>
      <c r="Q69" s="11" t="n"/>
      <c r="R69" s="19">
        <f>IF(M69="","",IF(Q69="Yes",100*U69,0))</f>
        <v/>
      </c>
      <c r="S69" s="15">
        <f>IF(OR(M69="",$O$3=""),"",IF(OR(ISNUMBER(SEARCH("|"&amp;M69&amp;"|",IFERROR(INDEX(Data_Careers!$K:$K,MATCH($O$3&amp;"|"&amp;$B$4,Data_Careers!$A:$A,0)),""))),ISNUMBER(SEARCH("|"&amp;TRIM(IFERROR(LEFT(M69,FIND("(",M69)-1),M69))&amp;" (any)|",IFERROR(INDEX(Data_Careers!$K:$K,MATCH($O$3&amp;"|"&amp;$B$4,Data_Careers!$A:$A,0)),"")))),"★",""))</f>
        <v/>
      </c>
      <c r="T69">
        <f>IF(M69="","",IFERROR(IFERROR(INDEX(Data_Talents!$D:$D,MATCH(M69,Data_Talents!$A:$A,0))&amp;"",INDEX(Data_Talents!$D:$D,MATCH(TRIM(IFERROR(LEFT(M69,FIND("(",M69)-1),M69)),Data_Talents!$B:$B,0))&amp;""),""))</f>
        <v/>
      </c>
      <c r="U69">
        <f>IF(M69="",0,IF(N(P69)=0,1,N(P69)))</f>
        <v/>
      </c>
    </row>
    <row r="70">
      <c r="A70" s="4" t="n"/>
      <c r="B70" s="15">
        <f>IF(A70="","",IFERROR(IFERROR(INDEX(Data_Skills!$C:$C,MATCH(A70,Data_Skills!$A:$A,0))&amp;"",INDEX(Data_Skills!$C:$C,MATCH(TRIM(IFERROR(LEFT(A70,FIND("(",A70)-1),A70)),Data_Skills!$B:$B,0))&amp;""),""))</f>
        <v/>
      </c>
      <c r="C70" s="15">
        <f>IF(B70="","",INDEX($B$16:$K$16,MATCH(B70,$B$10:$K$10,0)))</f>
        <v/>
      </c>
      <c r="D70" s="22" t="n"/>
      <c r="E70" s="11" t="n"/>
      <c r="F70" s="11" t="n"/>
      <c r="G70" s="17">
        <f>IF(OR(A70="",C70=""),"",C70+N(E70))</f>
        <v/>
      </c>
      <c r="H70" s="19">
        <f>IF(A70="","",IFERROR(MAX(0,2*INDEX(Data_Lists!$AG$2:$AG$17,N(E70)/5+1)-INDEX(Data_Lists!$AG$2:$AG$17,N(D70)/5+1)-INDEX(Data_Lists!$AG$2:$AG$17,(N(E70)-N(F70))/5+1)),"?"))</f>
        <v/>
      </c>
      <c r="I70" s="15">
        <f>IF(OR(A70="",$O$3=""),"",IF(OR(ISNUMBER(SEARCH("|"&amp;A70&amp;"|",IFERROR(INDEX(Data_Careers!$J:$J,MATCH($O$3&amp;"|"&amp;$B$4,Data_Careers!$A:$A,0)),""))),ISNUMBER(SEARCH("|"&amp;TRIM(IFERROR(LEFT(A70,FIND("(",A70)-1),A70))&amp;" (any)|",IFERROR(INDEX(Data_Careers!$J:$J,MATCH($O$3&amp;"|"&amp;$B$4,Data_Careers!$A:$A,0)),"")))),"★",""))</f>
        <v/>
      </c>
      <c r="M70" s="4" t="n"/>
      <c r="N70" s="5" t="n"/>
      <c r="O70" s="5" t="n"/>
      <c r="P70" s="11" t="n"/>
      <c r="Q70" s="11" t="n"/>
      <c r="R70" s="19">
        <f>IF(M70="","",IF(Q70="Yes",100*U70,0))</f>
        <v/>
      </c>
      <c r="S70" s="15">
        <f>IF(OR(M70="",$O$3=""),"",IF(OR(ISNUMBER(SEARCH("|"&amp;M70&amp;"|",IFERROR(INDEX(Data_Careers!$K:$K,MATCH($O$3&amp;"|"&amp;$B$4,Data_Careers!$A:$A,0)),""))),ISNUMBER(SEARCH("|"&amp;TRIM(IFERROR(LEFT(M70,FIND("(",M70)-1),M70))&amp;" (any)|",IFERROR(INDEX(Data_Careers!$K:$K,MATCH($O$3&amp;"|"&amp;$B$4,Data_Careers!$A:$A,0)),"")))),"★",""))</f>
        <v/>
      </c>
      <c r="T70">
        <f>IF(M70="","",IFERROR(IFERROR(INDEX(Data_Talents!$D:$D,MATCH(M70,Data_Talents!$A:$A,0))&amp;"",INDEX(Data_Talents!$D:$D,MATCH(TRIM(IFERROR(LEFT(M70,FIND("(",M70)-1),M70)),Data_Talents!$B:$B,0))&amp;""),""))</f>
        <v/>
      </c>
      <c r="U70">
        <f>IF(M70="",0,IF(N(P70)=0,1,N(P70)))</f>
        <v/>
      </c>
    </row>
    <row r="71">
      <c r="A71" s="4" t="n"/>
      <c r="B71" s="15">
        <f>IF(A71="","",IFERROR(IFERROR(INDEX(Data_Skills!$C:$C,MATCH(A71,Data_Skills!$A:$A,0))&amp;"",INDEX(Data_Skills!$C:$C,MATCH(TRIM(IFERROR(LEFT(A71,FIND("(",A71)-1),A71)),Data_Skills!$B:$B,0))&amp;""),""))</f>
        <v/>
      </c>
      <c r="C71" s="15">
        <f>IF(B71="","",INDEX($B$16:$K$16,MATCH(B71,$B$10:$K$10,0)))</f>
        <v/>
      </c>
      <c r="D71" s="22" t="n"/>
      <c r="E71" s="11" t="n"/>
      <c r="F71" s="11" t="n"/>
      <c r="G71" s="17">
        <f>IF(OR(A71="",C71=""),"",C71+N(E71))</f>
        <v/>
      </c>
      <c r="H71" s="19">
        <f>IF(A71="","",IFERROR(MAX(0,2*INDEX(Data_Lists!$AG$2:$AG$17,N(E71)/5+1)-INDEX(Data_Lists!$AG$2:$AG$17,N(D71)/5+1)-INDEX(Data_Lists!$AG$2:$AG$17,(N(E71)-N(F71))/5+1)),"?"))</f>
        <v/>
      </c>
      <c r="I71" s="15">
        <f>IF(OR(A71="",$O$3=""),"",IF(OR(ISNUMBER(SEARCH("|"&amp;A71&amp;"|",IFERROR(INDEX(Data_Careers!$J:$J,MATCH($O$3&amp;"|"&amp;$B$4,Data_Careers!$A:$A,0)),""))),ISNUMBER(SEARCH("|"&amp;TRIM(IFERROR(LEFT(A71,FIND("(",A71)-1),A71))&amp;" (any)|",IFERROR(INDEX(Data_Careers!$J:$J,MATCH($O$3&amp;"|"&amp;$B$4,Data_Careers!$A:$A,0)),"")))),"★",""))</f>
        <v/>
      </c>
      <c r="M71" s="4" t="n"/>
      <c r="N71" s="5" t="n"/>
      <c r="O71" s="5" t="n"/>
      <c r="P71" s="11" t="n"/>
      <c r="Q71" s="11" t="n"/>
      <c r="R71" s="19">
        <f>IF(M71="","",IF(Q71="Yes",100*U71,0))</f>
        <v/>
      </c>
      <c r="S71" s="15">
        <f>IF(OR(M71="",$O$3=""),"",IF(OR(ISNUMBER(SEARCH("|"&amp;M71&amp;"|",IFERROR(INDEX(Data_Careers!$K:$K,MATCH($O$3&amp;"|"&amp;$B$4,Data_Careers!$A:$A,0)),""))),ISNUMBER(SEARCH("|"&amp;TRIM(IFERROR(LEFT(M71,FIND("(",M71)-1),M71))&amp;" (any)|",IFERROR(INDEX(Data_Careers!$K:$K,MATCH($O$3&amp;"|"&amp;$B$4,Data_Careers!$A:$A,0)),"")))),"★",""))</f>
        <v/>
      </c>
      <c r="T71">
        <f>IF(M71="","",IFERROR(IFERROR(INDEX(Data_Talents!$D:$D,MATCH(M71,Data_Talents!$A:$A,0))&amp;"",INDEX(Data_Talents!$D:$D,MATCH(TRIM(IFERROR(LEFT(M71,FIND("(",M71)-1),M71)),Data_Talents!$B:$B,0))&amp;""),""))</f>
        <v/>
      </c>
      <c r="U71">
        <f>IF(M71="",0,IF(N(P71)=0,1,N(P71)))</f>
        <v/>
      </c>
    </row>
    <row r="72">
      <c r="A72" s="4" t="n"/>
      <c r="B72" s="15">
        <f>IF(A72="","",IFERROR(IFERROR(INDEX(Data_Skills!$C:$C,MATCH(A72,Data_Skills!$A:$A,0))&amp;"",INDEX(Data_Skills!$C:$C,MATCH(TRIM(IFERROR(LEFT(A72,FIND("(",A72)-1),A72)),Data_Skills!$B:$B,0))&amp;""),""))</f>
        <v/>
      </c>
      <c r="C72" s="15">
        <f>IF(B72="","",INDEX($B$16:$K$16,MATCH(B72,$B$10:$K$10,0)))</f>
        <v/>
      </c>
      <c r="D72" s="22" t="n"/>
      <c r="E72" s="11" t="n"/>
      <c r="F72" s="11" t="n"/>
      <c r="G72" s="17">
        <f>IF(OR(A72="",C72=""),"",C72+N(E72))</f>
        <v/>
      </c>
      <c r="H72" s="19">
        <f>IF(A72="","",IFERROR(MAX(0,2*INDEX(Data_Lists!$AG$2:$AG$17,N(E72)/5+1)-INDEX(Data_Lists!$AG$2:$AG$17,N(D72)/5+1)-INDEX(Data_Lists!$AG$2:$AG$17,(N(E72)-N(F72))/5+1)),"?"))</f>
        <v/>
      </c>
      <c r="I72" s="15">
        <f>IF(OR(A72="",$O$3=""),"",IF(OR(ISNUMBER(SEARCH("|"&amp;A72&amp;"|",IFERROR(INDEX(Data_Careers!$J:$J,MATCH($O$3&amp;"|"&amp;$B$4,Data_Careers!$A:$A,0)),""))),ISNUMBER(SEARCH("|"&amp;TRIM(IFERROR(LEFT(A72,FIND("(",A72)-1),A72))&amp;" (any)|",IFERROR(INDEX(Data_Careers!$J:$J,MATCH($O$3&amp;"|"&amp;$B$4,Data_Careers!$A:$A,0)),"")))),"★",""))</f>
        <v/>
      </c>
      <c r="M72" s="4" t="n"/>
      <c r="N72" s="5" t="n"/>
      <c r="O72" s="5" t="n"/>
      <c r="P72" s="11" t="n"/>
      <c r="Q72" s="11" t="n"/>
      <c r="R72" s="19">
        <f>IF(M72="","",IF(Q72="Yes",100*U72,0))</f>
        <v/>
      </c>
      <c r="S72" s="15">
        <f>IF(OR(M72="",$O$3=""),"",IF(OR(ISNUMBER(SEARCH("|"&amp;M72&amp;"|",IFERROR(INDEX(Data_Careers!$K:$K,MATCH($O$3&amp;"|"&amp;$B$4,Data_Careers!$A:$A,0)),""))),ISNUMBER(SEARCH("|"&amp;TRIM(IFERROR(LEFT(M72,FIND("(",M72)-1),M72))&amp;" (any)|",IFERROR(INDEX(Data_Careers!$K:$K,MATCH($O$3&amp;"|"&amp;$B$4,Data_Careers!$A:$A,0)),"")))),"★",""))</f>
        <v/>
      </c>
      <c r="T72">
        <f>IF(M72="","",IFERROR(IFERROR(INDEX(Data_Talents!$D:$D,MATCH(M72,Data_Talents!$A:$A,0))&amp;"",INDEX(Data_Talents!$D:$D,MATCH(TRIM(IFERROR(LEFT(M72,FIND("(",M72)-1),M72)),Data_Talents!$B:$B,0))&amp;""),""))</f>
        <v/>
      </c>
      <c r="U72">
        <f>IF(M72="",0,IF(N(P72)=0,1,N(P72)))</f>
        <v/>
      </c>
    </row>
    <row r="73">
      <c r="A73" s="4" t="n"/>
      <c r="B73" s="15">
        <f>IF(A73="","",IFERROR(IFERROR(INDEX(Data_Skills!$C:$C,MATCH(A73,Data_Skills!$A:$A,0))&amp;"",INDEX(Data_Skills!$C:$C,MATCH(TRIM(IFERROR(LEFT(A73,FIND("(",A73)-1),A73)),Data_Skills!$B:$B,0))&amp;""),""))</f>
        <v/>
      </c>
      <c r="C73" s="15">
        <f>IF(B73="","",INDEX($B$16:$K$16,MATCH(B73,$B$10:$K$10,0)))</f>
        <v/>
      </c>
      <c r="D73" s="22" t="n"/>
      <c r="E73" s="11" t="n"/>
      <c r="F73" s="11" t="n"/>
      <c r="G73" s="17">
        <f>IF(OR(A73="",C73=""),"",C73+N(E73))</f>
        <v/>
      </c>
      <c r="H73" s="19">
        <f>IF(A73="","",IFERROR(MAX(0,2*INDEX(Data_Lists!$AG$2:$AG$17,N(E73)/5+1)-INDEX(Data_Lists!$AG$2:$AG$17,N(D73)/5+1)-INDEX(Data_Lists!$AG$2:$AG$17,(N(E73)-N(F73))/5+1)),"?"))</f>
        <v/>
      </c>
      <c r="I73" s="15">
        <f>IF(OR(A73="",$O$3=""),"",IF(OR(ISNUMBER(SEARCH("|"&amp;A73&amp;"|",IFERROR(INDEX(Data_Careers!$J:$J,MATCH($O$3&amp;"|"&amp;$B$4,Data_Careers!$A:$A,0)),""))),ISNUMBER(SEARCH("|"&amp;TRIM(IFERROR(LEFT(A73,FIND("(",A73)-1),A73))&amp;" (any)|",IFERROR(INDEX(Data_Careers!$J:$J,MATCH($O$3&amp;"|"&amp;$B$4,Data_Careers!$A:$A,0)),"")))),"★",""))</f>
        <v/>
      </c>
      <c r="M73" s="4" t="n"/>
      <c r="N73" s="5" t="n"/>
      <c r="O73" s="5" t="n"/>
      <c r="P73" s="11" t="n"/>
      <c r="Q73" s="11" t="n"/>
      <c r="R73" s="19">
        <f>IF(M73="","",IF(Q73="Yes",100*U73,0))</f>
        <v/>
      </c>
      <c r="S73" s="15">
        <f>IF(OR(M73="",$O$3=""),"",IF(OR(ISNUMBER(SEARCH("|"&amp;M73&amp;"|",IFERROR(INDEX(Data_Careers!$K:$K,MATCH($O$3&amp;"|"&amp;$B$4,Data_Careers!$A:$A,0)),""))),ISNUMBER(SEARCH("|"&amp;TRIM(IFERROR(LEFT(M73,FIND("(",M73)-1),M73))&amp;" (any)|",IFERROR(INDEX(Data_Careers!$K:$K,MATCH($O$3&amp;"|"&amp;$B$4,Data_Careers!$A:$A,0)),"")))),"★",""))</f>
        <v/>
      </c>
      <c r="T73">
        <f>IF(M73="","",IFERROR(IFERROR(INDEX(Data_Talents!$D:$D,MATCH(M73,Data_Talents!$A:$A,0))&amp;"",INDEX(Data_Talents!$D:$D,MATCH(TRIM(IFERROR(LEFT(M73,FIND("(",M73)-1),M73)),Data_Talents!$B:$B,0))&amp;""),""))</f>
        <v/>
      </c>
      <c r="U73">
        <f>IF(M73="",0,IF(N(P73)=0,1,N(P73)))</f>
        <v/>
      </c>
    </row>
    <row r="74">
      <c r="A74" s="4" t="n"/>
      <c r="B74" s="15">
        <f>IF(A74="","",IFERROR(IFERROR(INDEX(Data_Skills!$C:$C,MATCH(A74,Data_Skills!$A:$A,0))&amp;"",INDEX(Data_Skills!$C:$C,MATCH(TRIM(IFERROR(LEFT(A74,FIND("(",A74)-1),A74)),Data_Skills!$B:$B,0))&amp;""),""))</f>
        <v/>
      </c>
      <c r="C74" s="15">
        <f>IF(B74="","",INDEX($B$16:$K$16,MATCH(B74,$B$10:$K$10,0)))</f>
        <v/>
      </c>
      <c r="D74" s="22" t="n"/>
      <c r="E74" s="11" t="n"/>
      <c r="F74" s="11" t="n"/>
      <c r="G74" s="17">
        <f>IF(OR(A74="",C74=""),"",C74+N(E74))</f>
        <v/>
      </c>
      <c r="H74" s="19">
        <f>IF(A74="","",IFERROR(MAX(0,2*INDEX(Data_Lists!$AG$2:$AG$17,N(E74)/5+1)-INDEX(Data_Lists!$AG$2:$AG$17,N(D74)/5+1)-INDEX(Data_Lists!$AG$2:$AG$17,(N(E74)-N(F74))/5+1)),"?"))</f>
        <v/>
      </c>
      <c r="I74" s="15">
        <f>IF(OR(A74="",$O$3=""),"",IF(OR(ISNUMBER(SEARCH("|"&amp;A74&amp;"|",IFERROR(INDEX(Data_Careers!$J:$J,MATCH($O$3&amp;"|"&amp;$B$4,Data_Careers!$A:$A,0)),""))),ISNUMBER(SEARCH("|"&amp;TRIM(IFERROR(LEFT(A74,FIND("(",A74)-1),A74))&amp;" (any)|",IFERROR(INDEX(Data_Careers!$J:$J,MATCH($O$3&amp;"|"&amp;$B$4,Data_Careers!$A:$A,0)),"")))),"★",""))</f>
        <v/>
      </c>
      <c r="M74" s="4" t="n"/>
      <c r="N74" s="5" t="n"/>
      <c r="O74" s="5" t="n"/>
      <c r="P74" s="11" t="n"/>
      <c r="Q74" s="11" t="n"/>
      <c r="R74" s="19">
        <f>IF(M74="","",IF(Q74="Yes",100*U74,0))</f>
        <v/>
      </c>
      <c r="S74" s="15">
        <f>IF(OR(M74="",$O$3=""),"",IF(OR(ISNUMBER(SEARCH("|"&amp;M74&amp;"|",IFERROR(INDEX(Data_Careers!$K:$K,MATCH($O$3&amp;"|"&amp;$B$4,Data_Careers!$A:$A,0)),""))),ISNUMBER(SEARCH("|"&amp;TRIM(IFERROR(LEFT(M74,FIND("(",M74)-1),M74))&amp;" (any)|",IFERROR(INDEX(Data_Careers!$K:$K,MATCH($O$3&amp;"|"&amp;$B$4,Data_Careers!$A:$A,0)),"")))),"★",""))</f>
        <v/>
      </c>
      <c r="T74">
        <f>IF(M74="","",IFERROR(IFERROR(INDEX(Data_Talents!$D:$D,MATCH(M74,Data_Talents!$A:$A,0))&amp;"",INDEX(Data_Talents!$D:$D,MATCH(TRIM(IFERROR(LEFT(M74,FIND("(",M74)-1),M74)),Data_Talents!$B:$B,0))&amp;""),""))</f>
        <v/>
      </c>
      <c r="U74">
        <f>IF(M74="",0,IF(N(P74)=0,1,N(P74)))</f>
        <v/>
      </c>
    </row>
    <row r="75">
      <c r="A75" s="4" t="n"/>
      <c r="B75" s="15">
        <f>IF(A75="","",IFERROR(IFERROR(INDEX(Data_Skills!$C:$C,MATCH(A75,Data_Skills!$A:$A,0))&amp;"",INDEX(Data_Skills!$C:$C,MATCH(TRIM(IFERROR(LEFT(A75,FIND("(",A75)-1),A75)),Data_Skills!$B:$B,0))&amp;""),""))</f>
        <v/>
      </c>
      <c r="C75" s="15">
        <f>IF(B75="","",INDEX($B$16:$K$16,MATCH(B75,$B$10:$K$10,0)))</f>
        <v/>
      </c>
      <c r="D75" s="22" t="n"/>
      <c r="E75" s="11" t="n"/>
      <c r="F75" s="11" t="n"/>
      <c r="G75" s="17">
        <f>IF(OR(A75="",C75=""),"",C75+N(E75))</f>
        <v/>
      </c>
      <c r="H75" s="19">
        <f>IF(A75="","",IFERROR(MAX(0,2*INDEX(Data_Lists!$AG$2:$AG$17,N(E75)/5+1)-INDEX(Data_Lists!$AG$2:$AG$17,N(D75)/5+1)-INDEX(Data_Lists!$AG$2:$AG$17,(N(E75)-N(F75))/5+1)),"?"))</f>
        <v/>
      </c>
      <c r="I75" s="15">
        <f>IF(OR(A75="",$O$3=""),"",IF(OR(ISNUMBER(SEARCH("|"&amp;A75&amp;"|",IFERROR(INDEX(Data_Careers!$J:$J,MATCH($O$3&amp;"|"&amp;$B$4,Data_Careers!$A:$A,0)),""))),ISNUMBER(SEARCH("|"&amp;TRIM(IFERROR(LEFT(A75,FIND("(",A75)-1),A75))&amp;" (any)|",IFERROR(INDEX(Data_Careers!$J:$J,MATCH($O$3&amp;"|"&amp;$B$4,Data_Careers!$A:$A,0)),"")))),"★",""))</f>
        <v/>
      </c>
      <c r="M75" s="4" t="n"/>
      <c r="N75" s="5" t="n"/>
      <c r="O75" s="5" t="n"/>
      <c r="P75" s="11" t="n"/>
      <c r="Q75" s="11" t="n"/>
      <c r="R75" s="19">
        <f>IF(M75="","",IF(Q75="Yes",100*U75,0))</f>
        <v/>
      </c>
      <c r="S75" s="15">
        <f>IF(OR(M75="",$O$3=""),"",IF(OR(ISNUMBER(SEARCH("|"&amp;M75&amp;"|",IFERROR(INDEX(Data_Careers!$K:$K,MATCH($O$3&amp;"|"&amp;$B$4,Data_Careers!$A:$A,0)),""))),ISNUMBER(SEARCH("|"&amp;TRIM(IFERROR(LEFT(M75,FIND("(",M75)-1),M75))&amp;" (any)|",IFERROR(INDEX(Data_Careers!$K:$K,MATCH($O$3&amp;"|"&amp;$B$4,Data_Careers!$A:$A,0)),"")))),"★",""))</f>
        <v/>
      </c>
      <c r="T75">
        <f>IF(M75="","",IFERROR(IFERROR(INDEX(Data_Talents!$D:$D,MATCH(M75,Data_Talents!$A:$A,0))&amp;"",INDEX(Data_Talents!$D:$D,MATCH(TRIM(IFERROR(LEFT(M75,FIND("(",M75)-1),M75)),Data_Talents!$B:$B,0))&amp;""),""))</f>
        <v/>
      </c>
      <c r="U75">
        <f>IF(M75="",0,IF(N(P75)=0,1,N(P75)))</f>
        <v/>
      </c>
    </row>
    <row r="76">
      <c r="A76" s="4" t="n"/>
      <c r="B76" s="15">
        <f>IF(A76="","",IFERROR(IFERROR(INDEX(Data_Skills!$C:$C,MATCH(A76,Data_Skills!$A:$A,0))&amp;"",INDEX(Data_Skills!$C:$C,MATCH(TRIM(IFERROR(LEFT(A76,FIND("(",A76)-1),A76)),Data_Skills!$B:$B,0))&amp;""),""))</f>
        <v/>
      </c>
      <c r="C76" s="15">
        <f>IF(B76="","",INDEX($B$16:$K$16,MATCH(B76,$B$10:$K$10,0)))</f>
        <v/>
      </c>
      <c r="D76" s="22" t="n"/>
      <c r="E76" s="11" t="n"/>
      <c r="F76" s="11" t="n"/>
      <c r="G76" s="17">
        <f>IF(OR(A76="",C76=""),"",C76+N(E76))</f>
        <v/>
      </c>
      <c r="H76" s="19">
        <f>IF(A76="","",IFERROR(MAX(0,2*INDEX(Data_Lists!$AG$2:$AG$17,N(E76)/5+1)-INDEX(Data_Lists!$AG$2:$AG$17,N(D76)/5+1)-INDEX(Data_Lists!$AG$2:$AG$17,(N(E76)-N(F76))/5+1)),"?"))</f>
        <v/>
      </c>
      <c r="I76" s="15">
        <f>IF(OR(A76="",$O$3=""),"",IF(OR(ISNUMBER(SEARCH("|"&amp;A76&amp;"|",IFERROR(INDEX(Data_Careers!$J:$J,MATCH($O$3&amp;"|"&amp;$B$4,Data_Careers!$A:$A,0)),""))),ISNUMBER(SEARCH("|"&amp;TRIM(IFERROR(LEFT(A76,FIND("(",A76)-1),A76))&amp;" (any)|",IFERROR(INDEX(Data_Careers!$J:$J,MATCH($O$3&amp;"|"&amp;$B$4,Data_Careers!$A:$A,0)),"")))),"★",""))</f>
        <v/>
      </c>
      <c r="M76" s="4" t="n"/>
      <c r="N76" s="5" t="n"/>
      <c r="O76" s="5" t="n"/>
      <c r="P76" s="11" t="n"/>
      <c r="Q76" s="11" t="n"/>
      <c r="R76" s="19">
        <f>IF(M76="","",IF(Q76="Yes",100*U76,0))</f>
        <v/>
      </c>
      <c r="S76" s="15">
        <f>IF(OR(M76="",$O$3=""),"",IF(OR(ISNUMBER(SEARCH("|"&amp;M76&amp;"|",IFERROR(INDEX(Data_Careers!$K:$K,MATCH($O$3&amp;"|"&amp;$B$4,Data_Careers!$A:$A,0)),""))),ISNUMBER(SEARCH("|"&amp;TRIM(IFERROR(LEFT(M76,FIND("(",M76)-1),M76))&amp;" (any)|",IFERROR(INDEX(Data_Careers!$K:$K,MATCH($O$3&amp;"|"&amp;$B$4,Data_Careers!$A:$A,0)),"")))),"★",""))</f>
        <v/>
      </c>
      <c r="T76">
        <f>IF(M76="","",IFERROR(IFERROR(INDEX(Data_Talents!$D:$D,MATCH(M76,Data_Talents!$A:$A,0))&amp;"",INDEX(Data_Talents!$D:$D,MATCH(TRIM(IFERROR(LEFT(M76,FIND("(",M76)-1),M76)),Data_Talents!$B:$B,0))&amp;""),""))</f>
        <v/>
      </c>
      <c r="U76">
        <f>IF(M76="",0,IF(N(P76)=0,1,N(P76)))</f>
        <v/>
      </c>
    </row>
    <row r="77">
      <c r="A77" s="4" t="n"/>
      <c r="B77" s="15">
        <f>IF(A77="","",IFERROR(IFERROR(INDEX(Data_Skills!$C:$C,MATCH(A77,Data_Skills!$A:$A,0))&amp;"",INDEX(Data_Skills!$C:$C,MATCH(TRIM(IFERROR(LEFT(A77,FIND("(",A77)-1),A77)),Data_Skills!$B:$B,0))&amp;""),""))</f>
        <v/>
      </c>
      <c r="C77" s="15">
        <f>IF(B77="","",INDEX($B$16:$K$16,MATCH(B77,$B$10:$K$10,0)))</f>
        <v/>
      </c>
      <c r="D77" s="22" t="n"/>
      <c r="E77" s="11" t="n"/>
      <c r="F77" s="11" t="n"/>
      <c r="G77" s="17">
        <f>IF(OR(A77="",C77=""),"",C77+N(E77))</f>
        <v/>
      </c>
      <c r="H77" s="19">
        <f>IF(A77="","",IFERROR(MAX(0,2*INDEX(Data_Lists!$AG$2:$AG$17,N(E77)/5+1)-INDEX(Data_Lists!$AG$2:$AG$17,N(D77)/5+1)-INDEX(Data_Lists!$AG$2:$AG$17,(N(E77)-N(F77))/5+1)),"?"))</f>
        <v/>
      </c>
      <c r="I77" s="15">
        <f>IF(OR(A77="",$O$3=""),"",IF(OR(ISNUMBER(SEARCH("|"&amp;A77&amp;"|",IFERROR(INDEX(Data_Careers!$J:$J,MATCH($O$3&amp;"|"&amp;$B$4,Data_Careers!$A:$A,0)),""))),ISNUMBER(SEARCH("|"&amp;TRIM(IFERROR(LEFT(A77,FIND("(",A77)-1),A77))&amp;" (any)|",IFERROR(INDEX(Data_Careers!$J:$J,MATCH($O$3&amp;"|"&amp;$B$4,Data_Careers!$A:$A,0)),"")))),"★",""))</f>
        <v/>
      </c>
      <c r="M77" s="4" t="n"/>
      <c r="N77" s="5" t="n"/>
      <c r="O77" s="5" t="n"/>
      <c r="P77" s="11" t="n"/>
      <c r="Q77" s="11" t="n"/>
      <c r="R77" s="19">
        <f>IF(M77="","",IF(Q77="Yes",100*U77,0))</f>
        <v/>
      </c>
      <c r="S77" s="15">
        <f>IF(OR(M77="",$O$3=""),"",IF(OR(ISNUMBER(SEARCH("|"&amp;M77&amp;"|",IFERROR(INDEX(Data_Careers!$K:$K,MATCH($O$3&amp;"|"&amp;$B$4,Data_Careers!$A:$A,0)),""))),ISNUMBER(SEARCH("|"&amp;TRIM(IFERROR(LEFT(M77,FIND("(",M77)-1),M77))&amp;" (any)|",IFERROR(INDEX(Data_Careers!$K:$K,MATCH($O$3&amp;"|"&amp;$B$4,Data_Careers!$A:$A,0)),"")))),"★",""))</f>
        <v/>
      </c>
      <c r="T77">
        <f>IF(M77="","",IFERROR(IFERROR(INDEX(Data_Talents!$D:$D,MATCH(M77,Data_Talents!$A:$A,0))&amp;"",INDEX(Data_Talents!$D:$D,MATCH(TRIM(IFERROR(LEFT(M77,FIND("(",M77)-1),M77)),Data_Talents!$B:$B,0))&amp;""),""))</f>
        <v/>
      </c>
      <c r="U77">
        <f>IF(M77="",0,IF(N(P77)=0,1,N(P77)))</f>
        <v/>
      </c>
    </row>
    <row r="78">
      <c r="M78" s="2" t="inlineStr">
        <is>
          <t>Times taken: leave blank for 1. Talent bonuses such as Savvy (+5 Int) are added to characteristics automatically.</t>
        </is>
      </c>
    </row>
    <row r="79">
      <c r="A79" s="7" t="inlineStr">
        <is>
          <t>CAREER PATH (XP for levels and career changes)</t>
        </is>
      </c>
    </row>
    <row r="80">
      <c r="A80" s="9" t="inlineStr">
        <is>
          <t>Career</t>
        </is>
      </c>
      <c r="B80" s="9" t="inlineStr">
        <is>
          <t>Class</t>
        </is>
      </c>
      <c r="C80" s="5" t="n"/>
      <c r="D80" s="9" t="inlineStr">
        <is>
          <t>Highest level</t>
        </is>
      </c>
      <c r="E80" s="9" t="inlineStr">
        <is>
          <t>Entered as</t>
        </is>
      </c>
      <c r="F80" s="5" t="n"/>
      <c r="G80" s="9" t="inlineStr">
        <is>
          <t>Change XP</t>
        </is>
      </c>
      <c r="H80" s="9" t="inlineStr">
        <is>
          <t>Level XP</t>
        </is>
      </c>
      <c r="I80" s="9" t="inlineStr">
        <is>
          <t>Total XP</t>
        </is>
      </c>
      <c r="J80" s="9" t="inlineStr">
        <is>
          <t>Notes</t>
        </is>
      </c>
      <c r="K80" s="5" t="n"/>
      <c r="L80" s="5" t="n"/>
      <c r="M80" s="5" t="n"/>
      <c r="N80" s="5" t="n"/>
      <c r="O80" s="5" t="n"/>
      <c r="P80" s="5" t="n"/>
      <c r="Q80" s="5" t="n"/>
      <c r="R80" s="5" t="n"/>
      <c r="S80" s="5" t="n"/>
    </row>
    <row r="81">
      <c r="A81" s="4" t="n"/>
      <c r="B81" s="15">
        <f>IF(A81="","",IFERROR(INDEX(Data_Careers!$D:$D,MATCH(A81&amp;"|1",Data_Careers!$A:$A,0)),""))</f>
        <v/>
      </c>
      <c r="C81" s="5" t="n"/>
      <c r="D81" s="11" t="n"/>
      <c r="E81" s="11" t="n"/>
      <c r="F81" s="5" t="n"/>
      <c r="G81" s="19">
        <f>IF(A81="","",IFERROR(INDEX(Data_Lists!$W$2:$W$4,MATCH(E81,Data_Lists!$V$2:$V$4,0)),0))</f>
        <v/>
      </c>
      <c r="H81" s="19">
        <f>IF(A81="","",100*MAX(0,N(D81)-1))</f>
        <v/>
      </c>
      <c r="I81" s="19">
        <f>IF(A81="","",N(G81)+N(H81))</f>
        <v/>
      </c>
      <c r="J81" s="4" t="n"/>
      <c r="K81" s="5" t="n"/>
      <c r="L81" s="5" t="n"/>
      <c r="M81" s="5" t="n"/>
      <c r="N81" s="5" t="n"/>
      <c r="O81" s="5" t="n"/>
      <c r="P81" s="5" t="n"/>
      <c r="Q81" s="5" t="n"/>
      <c r="R81" s="5" t="n"/>
      <c r="S81" s="5" t="n"/>
    </row>
    <row r="82">
      <c r="A82" s="4" t="n"/>
      <c r="B82" s="15">
        <f>IF(A82="","",IFERROR(INDEX(Data_Careers!$D:$D,MATCH(A82&amp;"|1",Data_Careers!$A:$A,0)),""))</f>
        <v/>
      </c>
      <c r="C82" s="5" t="n"/>
      <c r="D82" s="11" t="n"/>
      <c r="E82" s="11" t="n"/>
      <c r="F82" s="5" t="n"/>
      <c r="G82" s="19">
        <f>IF(A82="","",IFERROR(INDEX(Data_Lists!$W$2:$W$4,MATCH(E82,Data_Lists!$V$2:$V$4,0)),0))</f>
        <v/>
      </c>
      <c r="H82" s="19">
        <f>IF(A82="","",100*MAX(0,N(D82)-1))</f>
        <v/>
      </c>
      <c r="I82" s="19">
        <f>IF(A82="","",N(G82)+N(H82))</f>
        <v/>
      </c>
      <c r="J82" s="4" t="n"/>
      <c r="K82" s="5" t="n"/>
      <c r="L82" s="5" t="n"/>
      <c r="M82" s="5" t="n"/>
      <c r="N82" s="5" t="n"/>
      <c r="O82" s="5" t="n"/>
      <c r="P82" s="5" t="n"/>
      <c r="Q82" s="5" t="n"/>
      <c r="R82" s="5" t="n"/>
      <c r="S82" s="5" t="n"/>
    </row>
    <row r="83">
      <c r="A83" s="4" t="n"/>
      <c r="B83" s="15">
        <f>IF(A83="","",IFERROR(INDEX(Data_Careers!$D:$D,MATCH(A83&amp;"|1",Data_Careers!$A:$A,0)),""))</f>
        <v/>
      </c>
      <c r="C83" s="5" t="n"/>
      <c r="D83" s="11" t="n"/>
      <c r="E83" s="11" t="n"/>
      <c r="F83" s="5" t="n"/>
      <c r="G83" s="19">
        <f>IF(A83="","",IFERROR(INDEX(Data_Lists!$W$2:$W$4,MATCH(E83,Data_Lists!$V$2:$V$4,0)),0))</f>
        <v/>
      </c>
      <c r="H83" s="19">
        <f>IF(A83="","",100*MAX(0,N(D83)-1))</f>
        <v/>
      </c>
      <c r="I83" s="19">
        <f>IF(A83="","",N(G83)+N(H83))</f>
        <v/>
      </c>
      <c r="J83" s="4" t="n"/>
      <c r="K83" s="5" t="n"/>
      <c r="L83" s="5" t="n"/>
      <c r="M83" s="5" t="n"/>
      <c r="N83" s="5" t="n"/>
      <c r="O83" s="5" t="n"/>
      <c r="P83" s="5" t="n"/>
      <c r="Q83" s="5" t="n"/>
      <c r="R83" s="5" t="n"/>
      <c r="S83" s="5" t="n"/>
    </row>
    <row r="84">
      <c r="A84" s="4" t="n"/>
      <c r="B84" s="15">
        <f>IF(A84="","",IFERROR(INDEX(Data_Careers!$D:$D,MATCH(A84&amp;"|1",Data_Careers!$A:$A,0)),""))</f>
        <v/>
      </c>
      <c r="C84" s="5" t="n"/>
      <c r="D84" s="11" t="n"/>
      <c r="E84" s="11" t="n"/>
      <c r="F84" s="5" t="n"/>
      <c r="G84" s="19">
        <f>IF(A84="","",IFERROR(INDEX(Data_Lists!$W$2:$W$4,MATCH(E84,Data_Lists!$V$2:$V$4,0)),0))</f>
        <v/>
      </c>
      <c r="H84" s="19">
        <f>IF(A84="","",100*MAX(0,N(D84)-1))</f>
        <v/>
      </c>
      <c r="I84" s="19">
        <f>IF(A84="","",N(G84)+N(H84))</f>
        <v/>
      </c>
      <c r="J84" s="4" t="n"/>
      <c r="K84" s="5" t="n"/>
      <c r="L84" s="5" t="n"/>
      <c r="M84" s="5" t="n"/>
      <c r="N84" s="5" t="n"/>
      <c r="O84" s="5" t="n"/>
      <c r="P84" s="5" t="n"/>
      <c r="Q84" s="5" t="n"/>
      <c r="R84" s="5" t="n"/>
      <c r="S84" s="5" t="n"/>
    </row>
    <row r="85">
      <c r="A85" s="4" t="n"/>
      <c r="B85" s="15">
        <f>IF(A85="","",IFERROR(INDEX(Data_Careers!$D:$D,MATCH(A85&amp;"|1",Data_Careers!$A:$A,0)),""))</f>
        <v/>
      </c>
      <c r="C85" s="5" t="n"/>
      <c r="D85" s="11" t="n"/>
      <c r="E85" s="11" t="n"/>
      <c r="F85" s="5" t="n"/>
      <c r="G85" s="19">
        <f>IF(A85="","",IFERROR(INDEX(Data_Lists!$W$2:$W$4,MATCH(E85,Data_Lists!$V$2:$V$4,0)),0))</f>
        <v/>
      </c>
      <c r="H85" s="19">
        <f>IF(A85="","",100*MAX(0,N(D85)-1))</f>
        <v/>
      </c>
      <c r="I85" s="19">
        <f>IF(A85="","",N(G85)+N(H85))</f>
        <v/>
      </c>
      <c r="J85" s="4" t="n"/>
      <c r="K85" s="5" t="n"/>
      <c r="L85" s="5" t="n"/>
      <c r="M85" s="5" t="n"/>
      <c r="N85" s="5" t="n"/>
      <c r="O85" s="5" t="n"/>
      <c r="P85" s="5" t="n"/>
      <c r="Q85" s="5" t="n"/>
      <c r="R85" s="5" t="n"/>
      <c r="S85" s="5" t="n"/>
    </row>
    <row r="86">
      <c r="A86" s="4" t="n"/>
      <c r="B86" s="15">
        <f>IF(A86="","",IFERROR(INDEX(Data_Careers!$D:$D,MATCH(A86&amp;"|1",Data_Careers!$A:$A,0)),""))</f>
        <v/>
      </c>
      <c r="C86" s="5" t="n"/>
      <c r="D86" s="11" t="n"/>
      <c r="E86" s="11" t="n"/>
      <c r="F86" s="5" t="n"/>
      <c r="G86" s="19">
        <f>IF(A86="","",IFERROR(INDEX(Data_Lists!$W$2:$W$4,MATCH(E86,Data_Lists!$V$2:$V$4,0)),0))</f>
        <v/>
      </c>
      <c r="H86" s="19">
        <f>IF(A86="","",100*MAX(0,N(D86)-1))</f>
        <v/>
      </c>
      <c r="I86" s="19">
        <f>IF(A86="","",N(G86)+N(H86))</f>
        <v/>
      </c>
      <c r="J86" s="4" t="n"/>
      <c r="K86" s="5" t="n"/>
      <c r="L86" s="5" t="n"/>
      <c r="M86" s="5" t="n"/>
      <c r="N86" s="5" t="n"/>
      <c r="O86" s="5" t="n"/>
      <c r="P86" s="5" t="n"/>
      <c r="Q86" s="5" t="n"/>
      <c r="R86" s="5" t="n"/>
      <c r="S86" s="5" t="n"/>
    </row>
    <row r="87"/>
    <row r="88">
      <c r="A88" s="7" t="inlineStr">
        <is>
          <t>TALENT DETAILS (filled automatically from the Talents list)</t>
        </is>
      </c>
    </row>
    <row r="89">
      <c r="A89" s="9" t="inlineStr">
        <is>
          <t>Talent</t>
        </is>
      </c>
      <c r="B89" s="9" t="inlineStr">
        <is>
          <t>Description</t>
        </is>
      </c>
      <c r="C89" s="5" t="n"/>
      <c r="D89" s="5" t="n"/>
      <c r="E89" s="5" t="n"/>
      <c r="F89" s="5" t="n"/>
      <c r="G89" s="5" t="n"/>
      <c r="H89" s="5" t="n"/>
      <c r="I89" s="5" t="n"/>
      <c r="J89" s="5" t="n"/>
      <c r="K89" s="5" t="n"/>
      <c r="L89" s="5" t="n"/>
      <c r="M89" s="5" t="n"/>
      <c r="N89" s="5" t="n"/>
      <c r="O89" s="5" t="n"/>
      <c r="P89" s="5" t="n"/>
      <c r="Q89" s="5" t="n"/>
      <c r="R89" s="5" t="n"/>
      <c r="S89" s="9" t="inlineStr">
        <is>
          <t>Page</t>
        </is>
      </c>
    </row>
    <row r="90">
      <c r="A90" s="24">
        <f>IF(M27="","",M27)</f>
        <v/>
      </c>
      <c r="B90" s="25">
        <f>IF(M27="","",IFERROR(IFERROR(INDEX(Data_Talents!$E:$E,MATCH(M27,Data_Talents!$A:$A,0))&amp;"",INDEX(Data_Talents!$E:$E,MATCH(TRIM(IFERROR(LEFT(M27,FIND("(",M27)-1),M27)),Data_Talents!$B:$B,0))&amp;""),""))</f>
        <v/>
      </c>
      <c r="C90" s="5" t="n"/>
      <c r="D90" s="5" t="n"/>
      <c r="E90" s="5" t="n"/>
      <c r="F90" s="5" t="n"/>
      <c r="G90" s="5" t="n"/>
      <c r="H90" s="5" t="n"/>
      <c r="I90" s="5" t="n"/>
      <c r="J90" s="5" t="n"/>
      <c r="K90" s="5" t="n"/>
      <c r="L90" s="5" t="n"/>
      <c r="M90" s="5" t="n"/>
      <c r="N90" s="5" t="n"/>
      <c r="O90" s="5" t="n"/>
      <c r="P90" s="5" t="n"/>
      <c r="Q90" s="5" t="n"/>
      <c r="R90" s="5" t="n"/>
      <c r="S90" s="15">
        <f>IF(M27="","",IFERROR(IFERROR(INDEX(Data_Talents!$F:$F,MATCH(M27,Data_Talents!$A:$A,0))&amp;"",INDEX(Data_Talents!$F:$F,MATCH(TRIM(IFERROR(LEFT(M27,FIND("(",M27)-1),M27)),Data_Talents!$B:$B,0))&amp;""),""))</f>
        <v/>
      </c>
    </row>
    <row r="91">
      <c r="A91" s="24">
        <f>IF(M28="","",M28)</f>
        <v/>
      </c>
      <c r="B91" s="25">
        <f>IF(M28="","",IFERROR(IFERROR(INDEX(Data_Talents!$E:$E,MATCH(M28,Data_Talents!$A:$A,0))&amp;"",INDEX(Data_Talents!$E:$E,MATCH(TRIM(IFERROR(LEFT(M28,FIND("(",M28)-1),M28)),Data_Talents!$B:$B,0))&amp;""),""))</f>
        <v/>
      </c>
      <c r="C91" s="5" t="n"/>
      <c r="D91" s="5" t="n"/>
      <c r="E91" s="5" t="n"/>
      <c r="F91" s="5" t="n"/>
      <c r="G91" s="5" t="n"/>
      <c r="H91" s="5" t="n"/>
      <c r="I91" s="5" t="n"/>
      <c r="J91" s="5" t="n"/>
      <c r="K91" s="5" t="n"/>
      <c r="L91" s="5" t="n"/>
      <c r="M91" s="5" t="n"/>
      <c r="N91" s="5" t="n"/>
      <c r="O91" s="5" t="n"/>
      <c r="P91" s="5" t="n"/>
      <c r="Q91" s="5" t="n"/>
      <c r="R91" s="5" t="n"/>
      <c r="S91" s="15">
        <f>IF(M28="","",IFERROR(IFERROR(INDEX(Data_Talents!$F:$F,MATCH(M28,Data_Talents!$A:$A,0))&amp;"",INDEX(Data_Talents!$F:$F,MATCH(TRIM(IFERROR(LEFT(M28,FIND("(",M28)-1),M28)),Data_Talents!$B:$B,0))&amp;""),""))</f>
        <v/>
      </c>
    </row>
    <row r="92">
      <c r="A92" s="24">
        <f>IF(M29="","",M29)</f>
        <v/>
      </c>
      <c r="B92" s="25">
        <f>IF(M29="","",IFERROR(IFERROR(INDEX(Data_Talents!$E:$E,MATCH(M29,Data_Talents!$A:$A,0))&amp;"",INDEX(Data_Talents!$E:$E,MATCH(TRIM(IFERROR(LEFT(M29,FIND("(",M29)-1),M29)),Data_Talents!$B:$B,0))&amp;""),""))</f>
        <v/>
      </c>
      <c r="C92" s="5" t="n"/>
      <c r="D92" s="5" t="n"/>
      <c r="E92" s="5" t="n"/>
      <c r="F92" s="5" t="n"/>
      <c r="G92" s="5" t="n"/>
      <c r="H92" s="5" t="n"/>
      <c r="I92" s="5" t="n"/>
      <c r="J92" s="5" t="n"/>
      <c r="K92" s="5" t="n"/>
      <c r="L92" s="5" t="n"/>
      <c r="M92" s="5" t="n"/>
      <c r="N92" s="5" t="n"/>
      <c r="O92" s="5" t="n"/>
      <c r="P92" s="5" t="n"/>
      <c r="Q92" s="5" t="n"/>
      <c r="R92" s="5" t="n"/>
      <c r="S92" s="15">
        <f>IF(M29="","",IFERROR(IFERROR(INDEX(Data_Talents!$F:$F,MATCH(M29,Data_Talents!$A:$A,0))&amp;"",INDEX(Data_Talents!$F:$F,MATCH(TRIM(IFERROR(LEFT(M29,FIND("(",M29)-1),M29)),Data_Talents!$B:$B,0))&amp;""),""))</f>
        <v/>
      </c>
    </row>
    <row r="93">
      <c r="A93" s="24">
        <f>IF(M30="","",M30)</f>
        <v/>
      </c>
      <c r="B93" s="25">
        <f>IF(M30="","",IFERROR(IFERROR(INDEX(Data_Talents!$E:$E,MATCH(M30,Data_Talents!$A:$A,0))&amp;"",INDEX(Data_Talents!$E:$E,MATCH(TRIM(IFERROR(LEFT(M30,FIND("(",M30)-1),M30)),Data_Talents!$B:$B,0))&amp;""),""))</f>
        <v/>
      </c>
      <c r="C93" s="5" t="n"/>
      <c r="D93" s="5" t="n"/>
      <c r="E93" s="5" t="n"/>
      <c r="F93" s="5" t="n"/>
      <c r="G93" s="5" t="n"/>
      <c r="H93" s="5" t="n"/>
      <c r="I93" s="5" t="n"/>
      <c r="J93" s="5" t="n"/>
      <c r="K93" s="5" t="n"/>
      <c r="L93" s="5" t="n"/>
      <c r="M93" s="5" t="n"/>
      <c r="N93" s="5" t="n"/>
      <c r="O93" s="5" t="n"/>
      <c r="P93" s="5" t="n"/>
      <c r="Q93" s="5" t="n"/>
      <c r="R93" s="5" t="n"/>
      <c r="S93" s="15">
        <f>IF(M30="","",IFERROR(IFERROR(INDEX(Data_Talents!$F:$F,MATCH(M30,Data_Talents!$A:$A,0))&amp;"",INDEX(Data_Talents!$F:$F,MATCH(TRIM(IFERROR(LEFT(M30,FIND("(",M30)-1),M30)),Data_Talents!$B:$B,0))&amp;""),""))</f>
        <v/>
      </c>
    </row>
    <row r="94">
      <c r="A94" s="24">
        <f>IF(M31="","",M31)</f>
        <v/>
      </c>
      <c r="B94" s="25">
        <f>IF(M31="","",IFERROR(IFERROR(INDEX(Data_Talents!$E:$E,MATCH(M31,Data_Talents!$A:$A,0))&amp;"",INDEX(Data_Talents!$E:$E,MATCH(TRIM(IFERROR(LEFT(M31,FIND("(",M31)-1),M31)),Data_Talents!$B:$B,0))&amp;""),""))</f>
        <v/>
      </c>
      <c r="C94" s="5" t="n"/>
      <c r="D94" s="5" t="n"/>
      <c r="E94" s="5" t="n"/>
      <c r="F94" s="5" t="n"/>
      <c r="G94" s="5" t="n"/>
      <c r="H94" s="5" t="n"/>
      <c r="I94" s="5" t="n"/>
      <c r="J94" s="5" t="n"/>
      <c r="K94" s="5" t="n"/>
      <c r="L94" s="5" t="n"/>
      <c r="M94" s="5" t="n"/>
      <c r="N94" s="5" t="n"/>
      <c r="O94" s="5" t="n"/>
      <c r="P94" s="5" t="n"/>
      <c r="Q94" s="5" t="n"/>
      <c r="R94" s="5" t="n"/>
      <c r="S94" s="15">
        <f>IF(M31="","",IFERROR(IFERROR(INDEX(Data_Talents!$F:$F,MATCH(M31,Data_Talents!$A:$A,0))&amp;"",INDEX(Data_Talents!$F:$F,MATCH(TRIM(IFERROR(LEFT(M31,FIND("(",M31)-1),M31)),Data_Talents!$B:$B,0))&amp;""),""))</f>
        <v/>
      </c>
    </row>
    <row r="95">
      <c r="A95" s="24">
        <f>IF(M32="","",M32)</f>
        <v/>
      </c>
      <c r="B95" s="25">
        <f>IF(M32="","",IFERROR(IFERROR(INDEX(Data_Talents!$E:$E,MATCH(M32,Data_Talents!$A:$A,0))&amp;"",INDEX(Data_Talents!$E:$E,MATCH(TRIM(IFERROR(LEFT(M32,FIND("(",M32)-1),M32)),Data_Talents!$B:$B,0))&amp;""),""))</f>
        <v/>
      </c>
      <c r="C95" s="5" t="n"/>
      <c r="D95" s="5" t="n"/>
      <c r="E95" s="5" t="n"/>
      <c r="F95" s="5" t="n"/>
      <c r="G95" s="5" t="n"/>
      <c r="H95" s="5" t="n"/>
      <c r="I95" s="5" t="n"/>
      <c r="J95" s="5" t="n"/>
      <c r="K95" s="5" t="n"/>
      <c r="L95" s="5" t="n"/>
      <c r="M95" s="5" t="n"/>
      <c r="N95" s="5" t="n"/>
      <c r="O95" s="5" t="n"/>
      <c r="P95" s="5" t="n"/>
      <c r="Q95" s="5" t="n"/>
      <c r="R95" s="5" t="n"/>
      <c r="S95" s="15">
        <f>IF(M32="","",IFERROR(IFERROR(INDEX(Data_Talents!$F:$F,MATCH(M32,Data_Talents!$A:$A,0))&amp;"",INDEX(Data_Talents!$F:$F,MATCH(TRIM(IFERROR(LEFT(M32,FIND("(",M32)-1),M32)),Data_Talents!$B:$B,0))&amp;""),""))</f>
        <v/>
      </c>
    </row>
    <row r="96">
      <c r="A96" s="24">
        <f>IF(M33="","",M33)</f>
        <v/>
      </c>
      <c r="B96" s="25">
        <f>IF(M33="","",IFERROR(IFERROR(INDEX(Data_Talents!$E:$E,MATCH(M33,Data_Talents!$A:$A,0))&amp;"",INDEX(Data_Talents!$E:$E,MATCH(TRIM(IFERROR(LEFT(M33,FIND("(",M33)-1),M33)),Data_Talents!$B:$B,0))&amp;""),""))</f>
        <v/>
      </c>
      <c r="C96" s="5" t="n"/>
      <c r="D96" s="5" t="n"/>
      <c r="E96" s="5" t="n"/>
      <c r="F96" s="5" t="n"/>
      <c r="G96" s="5" t="n"/>
      <c r="H96" s="5" t="n"/>
      <c r="I96" s="5" t="n"/>
      <c r="J96" s="5" t="n"/>
      <c r="K96" s="5" t="n"/>
      <c r="L96" s="5" t="n"/>
      <c r="M96" s="5" t="n"/>
      <c r="N96" s="5" t="n"/>
      <c r="O96" s="5" t="n"/>
      <c r="P96" s="5" t="n"/>
      <c r="Q96" s="5" t="n"/>
      <c r="R96" s="5" t="n"/>
      <c r="S96" s="15">
        <f>IF(M33="","",IFERROR(IFERROR(INDEX(Data_Talents!$F:$F,MATCH(M33,Data_Talents!$A:$A,0))&amp;"",INDEX(Data_Talents!$F:$F,MATCH(TRIM(IFERROR(LEFT(M33,FIND("(",M33)-1),M33)),Data_Talents!$B:$B,0))&amp;""),""))</f>
        <v/>
      </c>
    </row>
    <row r="97">
      <c r="A97" s="24">
        <f>IF(M34="","",M34)</f>
        <v/>
      </c>
      <c r="B97" s="25">
        <f>IF(M34="","",IFERROR(IFERROR(INDEX(Data_Talents!$E:$E,MATCH(M34,Data_Talents!$A:$A,0))&amp;"",INDEX(Data_Talents!$E:$E,MATCH(TRIM(IFERROR(LEFT(M34,FIND("(",M34)-1),M34)),Data_Talents!$B:$B,0))&amp;""),""))</f>
        <v/>
      </c>
      <c r="C97" s="5" t="n"/>
      <c r="D97" s="5" t="n"/>
      <c r="E97" s="5" t="n"/>
      <c r="F97" s="5" t="n"/>
      <c r="G97" s="5" t="n"/>
      <c r="H97" s="5" t="n"/>
      <c r="I97" s="5" t="n"/>
      <c r="J97" s="5" t="n"/>
      <c r="K97" s="5" t="n"/>
      <c r="L97" s="5" t="n"/>
      <c r="M97" s="5" t="n"/>
      <c r="N97" s="5" t="n"/>
      <c r="O97" s="5" t="n"/>
      <c r="P97" s="5" t="n"/>
      <c r="Q97" s="5" t="n"/>
      <c r="R97" s="5" t="n"/>
      <c r="S97" s="15">
        <f>IF(M34="","",IFERROR(IFERROR(INDEX(Data_Talents!$F:$F,MATCH(M34,Data_Talents!$A:$A,0))&amp;"",INDEX(Data_Talents!$F:$F,MATCH(TRIM(IFERROR(LEFT(M34,FIND("(",M34)-1),M34)),Data_Talents!$B:$B,0))&amp;""),""))</f>
        <v/>
      </c>
    </row>
    <row r="98">
      <c r="A98" s="24">
        <f>IF(M35="","",M35)</f>
        <v/>
      </c>
      <c r="B98" s="25">
        <f>IF(M35="","",IFERROR(IFERROR(INDEX(Data_Talents!$E:$E,MATCH(M35,Data_Talents!$A:$A,0))&amp;"",INDEX(Data_Talents!$E:$E,MATCH(TRIM(IFERROR(LEFT(M35,FIND("(",M35)-1),M35)),Data_Talents!$B:$B,0))&amp;""),""))</f>
        <v/>
      </c>
      <c r="C98" s="5" t="n"/>
      <c r="D98" s="5" t="n"/>
      <c r="E98" s="5" t="n"/>
      <c r="F98" s="5" t="n"/>
      <c r="G98" s="5" t="n"/>
      <c r="H98" s="5" t="n"/>
      <c r="I98" s="5" t="n"/>
      <c r="J98" s="5" t="n"/>
      <c r="K98" s="5" t="n"/>
      <c r="L98" s="5" t="n"/>
      <c r="M98" s="5" t="n"/>
      <c r="N98" s="5" t="n"/>
      <c r="O98" s="5" t="n"/>
      <c r="P98" s="5" t="n"/>
      <c r="Q98" s="5" t="n"/>
      <c r="R98" s="5" t="n"/>
      <c r="S98" s="15">
        <f>IF(M35="","",IFERROR(IFERROR(INDEX(Data_Talents!$F:$F,MATCH(M35,Data_Talents!$A:$A,0))&amp;"",INDEX(Data_Talents!$F:$F,MATCH(TRIM(IFERROR(LEFT(M35,FIND("(",M35)-1),M35)),Data_Talents!$B:$B,0))&amp;""),""))</f>
        <v/>
      </c>
    </row>
    <row r="99">
      <c r="A99" s="24">
        <f>IF(M36="","",M36)</f>
        <v/>
      </c>
      <c r="B99" s="25">
        <f>IF(M36="","",IFERROR(IFERROR(INDEX(Data_Talents!$E:$E,MATCH(M36,Data_Talents!$A:$A,0))&amp;"",INDEX(Data_Talents!$E:$E,MATCH(TRIM(IFERROR(LEFT(M36,FIND("(",M36)-1),M36)),Data_Talents!$B:$B,0))&amp;""),""))</f>
        <v/>
      </c>
      <c r="C99" s="5" t="n"/>
      <c r="D99" s="5" t="n"/>
      <c r="E99" s="5" t="n"/>
      <c r="F99" s="5" t="n"/>
      <c r="G99" s="5" t="n"/>
      <c r="H99" s="5" t="n"/>
      <c r="I99" s="5" t="n"/>
      <c r="J99" s="5" t="n"/>
      <c r="K99" s="5" t="n"/>
      <c r="L99" s="5" t="n"/>
      <c r="M99" s="5" t="n"/>
      <c r="N99" s="5" t="n"/>
      <c r="O99" s="5" t="n"/>
      <c r="P99" s="5" t="n"/>
      <c r="Q99" s="5" t="n"/>
      <c r="R99" s="5" t="n"/>
      <c r="S99" s="15">
        <f>IF(M36="","",IFERROR(IFERROR(INDEX(Data_Talents!$F:$F,MATCH(M36,Data_Talents!$A:$A,0))&amp;"",INDEX(Data_Talents!$F:$F,MATCH(TRIM(IFERROR(LEFT(M36,FIND("(",M36)-1),M36)),Data_Talents!$B:$B,0))&amp;""),""))</f>
        <v/>
      </c>
    </row>
    <row r="100">
      <c r="A100" s="24">
        <f>IF(M37="","",M37)</f>
        <v/>
      </c>
      <c r="B100" s="25">
        <f>IF(M37="","",IFERROR(IFERROR(INDEX(Data_Talents!$E:$E,MATCH(M37,Data_Talents!$A:$A,0))&amp;"",INDEX(Data_Talents!$E:$E,MATCH(TRIM(IFERROR(LEFT(M37,FIND("(",M37)-1),M37)),Data_Talents!$B:$B,0))&amp;""),""))</f>
        <v/>
      </c>
      <c r="C100" s="5" t="n"/>
      <c r="D100" s="5" t="n"/>
      <c r="E100" s="5" t="n"/>
      <c r="F100" s="5" t="n"/>
      <c r="G100" s="5" t="n"/>
      <c r="H100" s="5" t="n"/>
      <c r="I100" s="5" t="n"/>
      <c r="J100" s="5" t="n"/>
      <c r="K100" s="5" t="n"/>
      <c r="L100" s="5" t="n"/>
      <c r="M100" s="5" t="n"/>
      <c r="N100" s="5" t="n"/>
      <c r="O100" s="5" t="n"/>
      <c r="P100" s="5" t="n"/>
      <c r="Q100" s="5" t="n"/>
      <c r="R100" s="5" t="n"/>
      <c r="S100" s="15">
        <f>IF(M37="","",IFERROR(IFERROR(INDEX(Data_Talents!$F:$F,MATCH(M37,Data_Talents!$A:$A,0))&amp;"",INDEX(Data_Talents!$F:$F,MATCH(TRIM(IFERROR(LEFT(M37,FIND("(",M37)-1),M37)),Data_Talents!$B:$B,0))&amp;""),""))</f>
        <v/>
      </c>
    </row>
    <row r="101">
      <c r="A101" s="24">
        <f>IF(M38="","",M38)</f>
        <v/>
      </c>
      <c r="B101" s="25">
        <f>IF(M38="","",IFERROR(IFERROR(INDEX(Data_Talents!$E:$E,MATCH(M38,Data_Talents!$A:$A,0))&amp;"",INDEX(Data_Talents!$E:$E,MATCH(TRIM(IFERROR(LEFT(M38,FIND("(",M38)-1),M38)),Data_Talents!$B:$B,0))&amp;""),""))</f>
        <v/>
      </c>
      <c r="C101" s="5" t="n"/>
      <c r="D101" s="5" t="n"/>
      <c r="E101" s="5" t="n"/>
      <c r="F101" s="5" t="n"/>
      <c r="G101" s="5" t="n"/>
      <c r="H101" s="5" t="n"/>
      <c r="I101" s="5" t="n"/>
      <c r="J101" s="5" t="n"/>
      <c r="K101" s="5" t="n"/>
      <c r="L101" s="5" t="n"/>
      <c r="M101" s="5" t="n"/>
      <c r="N101" s="5" t="n"/>
      <c r="O101" s="5" t="n"/>
      <c r="P101" s="5" t="n"/>
      <c r="Q101" s="5" t="n"/>
      <c r="R101" s="5" t="n"/>
      <c r="S101" s="15">
        <f>IF(M38="","",IFERROR(IFERROR(INDEX(Data_Talents!$F:$F,MATCH(M38,Data_Talents!$A:$A,0))&amp;"",INDEX(Data_Talents!$F:$F,MATCH(TRIM(IFERROR(LEFT(M38,FIND("(",M38)-1),M38)),Data_Talents!$B:$B,0))&amp;""),""))</f>
        <v/>
      </c>
    </row>
    <row r="102">
      <c r="A102" s="24">
        <f>IF(M39="","",M39)</f>
        <v/>
      </c>
      <c r="B102" s="25">
        <f>IF(M39="","",IFERROR(IFERROR(INDEX(Data_Talents!$E:$E,MATCH(M39,Data_Talents!$A:$A,0))&amp;"",INDEX(Data_Talents!$E:$E,MATCH(TRIM(IFERROR(LEFT(M39,FIND("(",M39)-1),M39)),Data_Talents!$B:$B,0))&amp;""),""))</f>
        <v/>
      </c>
      <c r="C102" s="5" t="n"/>
      <c r="D102" s="5" t="n"/>
      <c r="E102" s="5" t="n"/>
      <c r="F102" s="5" t="n"/>
      <c r="G102" s="5" t="n"/>
      <c r="H102" s="5" t="n"/>
      <c r="I102" s="5" t="n"/>
      <c r="J102" s="5" t="n"/>
      <c r="K102" s="5" t="n"/>
      <c r="L102" s="5" t="n"/>
      <c r="M102" s="5" t="n"/>
      <c r="N102" s="5" t="n"/>
      <c r="O102" s="5" t="n"/>
      <c r="P102" s="5" t="n"/>
      <c r="Q102" s="5" t="n"/>
      <c r="R102" s="5" t="n"/>
      <c r="S102" s="15">
        <f>IF(M39="","",IFERROR(IFERROR(INDEX(Data_Talents!$F:$F,MATCH(M39,Data_Talents!$A:$A,0))&amp;"",INDEX(Data_Talents!$F:$F,MATCH(TRIM(IFERROR(LEFT(M39,FIND("(",M39)-1),M39)),Data_Talents!$B:$B,0))&amp;""),""))</f>
        <v/>
      </c>
    </row>
    <row r="103">
      <c r="A103" s="24">
        <f>IF(M40="","",M40)</f>
        <v/>
      </c>
      <c r="B103" s="25">
        <f>IF(M40="","",IFERROR(IFERROR(INDEX(Data_Talents!$E:$E,MATCH(M40,Data_Talents!$A:$A,0))&amp;"",INDEX(Data_Talents!$E:$E,MATCH(TRIM(IFERROR(LEFT(M40,FIND("(",M40)-1),M40)),Data_Talents!$B:$B,0))&amp;""),""))</f>
        <v/>
      </c>
      <c r="C103" s="5" t="n"/>
      <c r="D103" s="5" t="n"/>
      <c r="E103" s="5" t="n"/>
      <c r="F103" s="5" t="n"/>
      <c r="G103" s="5" t="n"/>
      <c r="H103" s="5" t="n"/>
      <c r="I103" s="5" t="n"/>
      <c r="J103" s="5" t="n"/>
      <c r="K103" s="5" t="n"/>
      <c r="L103" s="5" t="n"/>
      <c r="M103" s="5" t="n"/>
      <c r="N103" s="5" t="n"/>
      <c r="O103" s="5" t="n"/>
      <c r="P103" s="5" t="n"/>
      <c r="Q103" s="5" t="n"/>
      <c r="R103" s="5" t="n"/>
      <c r="S103" s="15">
        <f>IF(M40="","",IFERROR(IFERROR(INDEX(Data_Talents!$F:$F,MATCH(M40,Data_Talents!$A:$A,0))&amp;"",INDEX(Data_Talents!$F:$F,MATCH(TRIM(IFERROR(LEFT(M40,FIND("(",M40)-1),M40)),Data_Talents!$B:$B,0))&amp;""),""))</f>
        <v/>
      </c>
    </row>
    <row r="104">
      <c r="A104" s="24">
        <f>IF(M41="","",M41)</f>
        <v/>
      </c>
      <c r="B104" s="25">
        <f>IF(M41="","",IFERROR(IFERROR(INDEX(Data_Talents!$E:$E,MATCH(M41,Data_Talents!$A:$A,0))&amp;"",INDEX(Data_Talents!$E:$E,MATCH(TRIM(IFERROR(LEFT(M41,FIND("(",M41)-1),M41)),Data_Talents!$B:$B,0))&amp;""),""))</f>
        <v/>
      </c>
      <c r="C104" s="5" t="n"/>
      <c r="D104" s="5" t="n"/>
      <c r="E104" s="5" t="n"/>
      <c r="F104" s="5" t="n"/>
      <c r="G104" s="5" t="n"/>
      <c r="H104" s="5" t="n"/>
      <c r="I104" s="5" t="n"/>
      <c r="J104" s="5" t="n"/>
      <c r="K104" s="5" t="n"/>
      <c r="L104" s="5" t="n"/>
      <c r="M104" s="5" t="n"/>
      <c r="N104" s="5" t="n"/>
      <c r="O104" s="5" t="n"/>
      <c r="P104" s="5" t="n"/>
      <c r="Q104" s="5" t="n"/>
      <c r="R104" s="5" t="n"/>
      <c r="S104" s="15">
        <f>IF(M41="","",IFERROR(IFERROR(INDEX(Data_Talents!$F:$F,MATCH(M41,Data_Talents!$A:$A,0))&amp;"",INDEX(Data_Talents!$F:$F,MATCH(TRIM(IFERROR(LEFT(M41,FIND("(",M41)-1),M41)),Data_Talents!$B:$B,0))&amp;""),""))</f>
        <v/>
      </c>
    </row>
    <row r="105">
      <c r="A105" s="24">
        <f>IF(M42="","",M42)</f>
        <v/>
      </c>
      <c r="B105" s="25">
        <f>IF(M42="","",IFERROR(IFERROR(INDEX(Data_Talents!$E:$E,MATCH(M42,Data_Talents!$A:$A,0))&amp;"",INDEX(Data_Talents!$E:$E,MATCH(TRIM(IFERROR(LEFT(M42,FIND("(",M42)-1),M42)),Data_Talents!$B:$B,0))&amp;""),""))</f>
        <v/>
      </c>
      <c r="C105" s="5" t="n"/>
      <c r="D105" s="5" t="n"/>
      <c r="E105" s="5" t="n"/>
      <c r="F105" s="5" t="n"/>
      <c r="G105" s="5" t="n"/>
      <c r="H105" s="5" t="n"/>
      <c r="I105" s="5" t="n"/>
      <c r="J105" s="5" t="n"/>
      <c r="K105" s="5" t="n"/>
      <c r="L105" s="5" t="n"/>
      <c r="M105" s="5" t="n"/>
      <c r="N105" s="5" t="n"/>
      <c r="O105" s="5" t="n"/>
      <c r="P105" s="5" t="n"/>
      <c r="Q105" s="5" t="n"/>
      <c r="R105" s="5" t="n"/>
      <c r="S105" s="15">
        <f>IF(M42="","",IFERROR(IFERROR(INDEX(Data_Talents!$F:$F,MATCH(M42,Data_Talents!$A:$A,0))&amp;"",INDEX(Data_Talents!$F:$F,MATCH(TRIM(IFERROR(LEFT(M42,FIND("(",M42)-1),M42)),Data_Talents!$B:$B,0))&amp;""),""))</f>
        <v/>
      </c>
    </row>
    <row r="106">
      <c r="A106" s="24">
        <f>IF(M43="","",M43)</f>
        <v/>
      </c>
      <c r="B106" s="25">
        <f>IF(M43="","",IFERROR(IFERROR(INDEX(Data_Talents!$E:$E,MATCH(M43,Data_Talents!$A:$A,0))&amp;"",INDEX(Data_Talents!$E:$E,MATCH(TRIM(IFERROR(LEFT(M43,FIND("(",M43)-1),M43)),Data_Talents!$B:$B,0))&amp;""),""))</f>
        <v/>
      </c>
      <c r="C106" s="5" t="n"/>
      <c r="D106" s="5" t="n"/>
      <c r="E106" s="5" t="n"/>
      <c r="F106" s="5" t="n"/>
      <c r="G106" s="5" t="n"/>
      <c r="H106" s="5" t="n"/>
      <c r="I106" s="5" t="n"/>
      <c r="J106" s="5" t="n"/>
      <c r="K106" s="5" t="n"/>
      <c r="L106" s="5" t="n"/>
      <c r="M106" s="5" t="n"/>
      <c r="N106" s="5" t="n"/>
      <c r="O106" s="5" t="n"/>
      <c r="P106" s="5" t="n"/>
      <c r="Q106" s="5" t="n"/>
      <c r="R106" s="5" t="n"/>
      <c r="S106" s="15">
        <f>IF(M43="","",IFERROR(IFERROR(INDEX(Data_Talents!$F:$F,MATCH(M43,Data_Talents!$A:$A,0))&amp;"",INDEX(Data_Talents!$F:$F,MATCH(TRIM(IFERROR(LEFT(M43,FIND("(",M43)-1),M43)),Data_Talents!$B:$B,0))&amp;""),""))</f>
        <v/>
      </c>
    </row>
    <row r="107">
      <c r="A107" s="24">
        <f>IF(M44="","",M44)</f>
        <v/>
      </c>
      <c r="B107" s="25">
        <f>IF(M44="","",IFERROR(IFERROR(INDEX(Data_Talents!$E:$E,MATCH(M44,Data_Talents!$A:$A,0))&amp;"",INDEX(Data_Talents!$E:$E,MATCH(TRIM(IFERROR(LEFT(M44,FIND("(",M44)-1),M44)),Data_Talents!$B:$B,0))&amp;""),""))</f>
        <v/>
      </c>
      <c r="C107" s="5" t="n"/>
      <c r="D107" s="5" t="n"/>
      <c r="E107" s="5" t="n"/>
      <c r="F107" s="5" t="n"/>
      <c r="G107" s="5" t="n"/>
      <c r="H107" s="5" t="n"/>
      <c r="I107" s="5" t="n"/>
      <c r="J107" s="5" t="n"/>
      <c r="K107" s="5" t="n"/>
      <c r="L107" s="5" t="n"/>
      <c r="M107" s="5" t="n"/>
      <c r="N107" s="5" t="n"/>
      <c r="O107" s="5" t="n"/>
      <c r="P107" s="5" t="n"/>
      <c r="Q107" s="5" t="n"/>
      <c r="R107" s="5" t="n"/>
      <c r="S107" s="15">
        <f>IF(M44="","",IFERROR(IFERROR(INDEX(Data_Talents!$F:$F,MATCH(M44,Data_Talents!$A:$A,0))&amp;"",INDEX(Data_Talents!$F:$F,MATCH(TRIM(IFERROR(LEFT(M44,FIND("(",M44)-1),M44)),Data_Talents!$B:$B,0))&amp;""),""))</f>
        <v/>
      </c>
    </row>
    <row r="108">
      <c r="A108" s="24">
        <f>IF(M45="","",M45)</f>
        <v/>
      </c>
      <c r="B108" s="25">
        <f>IF(M45="","",IFERROR(IFERROR(INDEX(Data_Talents!$E:$E,MATCH(M45,Data_Talents!$A:$A,0))&amp;"",INDEX(Data_Talents!$E:$E,MATCH(TRIM(IFERROR(LEFT(M45,FIND("(",M45)-1),M45)),Data_Talents!$B:$B,0))&amp;""),""))</f>
        <v/>
      </c>
      <c r="C108" s="5" t="n"/>
      <c r="D108" s="5" t="n"/>
      <c r="E108" s="5" t="n"/>
      <c r="F108" s="5" t="n"/>
      <c r="G108" s="5" t="n"/>
      <c r="H108" s="5" t="n"/>
      <c r="I108" s="5" t="n"/>
      <c r="J108" s="5" t="n"/>
      <c r="K108" s="5" t="n"/>
      <c r="L108" s="5" t="n"/>
      <c r="M108" s="5" t="n"/>
      <c r="N108" s="5" t="n"/>
      <c r="O108" s="5" t="n"/>
      <c r="P108" s="5" t="n"/>
      <c r="Q108" s="5" t="n"/>
      <c r="R108" s="5" t="n"/>
      <c r="S108" s="15">
        <f>IF(M45="","",IFERROR(IFERROR(INDEX(Data_Talents!$F:$F,MATCH(M45,Data_Talents!$A:$A,0))&amp;"",INDEX(Data_Talents!$F:$F,MATCH(TRIM(IFERROR(LEFT(M45,FIND("(",M45)-1),M45)),Data_Talents!$B:$B,0))&amp;""),""))</f>
        <v/>
      </c>
    </row>
    <row r="109">
      <c r="A109" s="24">
        <f>IF(M46="","",M46)</f>
        <v/>
      </c>
      <c r="B109" s="25">
        <f>IF(M46="","",IFERROR(IFERROR(INDEX(Data_Talents!$E:$E,MATCH(M46,Data_Talents!$A:$A,0))&amp;"",INDEX(Data_Talents!$E:$E,MATCH(TRIM(IFERROR(LEFT(M46,FIND("(",M46)-1),M46)),Data_Talents!$B:$B,0))&amp;""),""))</f>
        <v/>
      </c>
      <c r="C109" s="5" t="n"/>
      <c r="D109" s="5" t="n"/>
      <c r="E109" s="5" t="n"/>
      <c r="F109" s="5" t="n"/>
      <c r="G109" s="5" t="n"/>
      <c r="H109" s="5" t="n"/>
      <c r="I109" s="5" t="n"/>
      <c r="J109" s="5" t="n"/>
      <c r="K109" s="5" t="n"/>
      <c r="L109" s="5" t="n"/>
      <c r="M109" s="5" t="n"/>
      <c r="N109" s="5" t="n"/>
      <c r="O109" s="5" t="n"/>
      <c r="P109" s="5" t="n"/>
      <c r="Q109" s="5" t="n"/>
      <c r="R109" s="5" t="n"/>
      <c r="S109" s="15">
        <f>IF(M46="","",IFERROR(IFERROR(INDEX(Data_Talents!$F:$F,MATCH(M46,Data_Talents!$A:$A,0))&amp;"",INDEX(Data_Talents!$F:$F,MATCH(TRIM(IFERROR(LEFT(M46,FIND("(",M46)-1),M46)),Data_Talents!$B:$B,0))&amp;""),""))</f>
        <v/>
      </c>
    </row>
    <row r="110">
      <c r="A110" s="24">
        <f>IF(M47="","",M47)</f>
        <v/>
      </c>
      <c r="B110" s="25">
        <f>IF(M47="","",IFERROR(IFERROR(INDEX(Data_Talents!$E:$E,MATCH(M47,Data_Talents!$A:$A,0))&amp;"",INDEX(Data_Talents!$E:$E,MATCH(TRIM(IFERROR(LEFT(M47,FIND("(",M47)-1),M47)),Data_Talents!$B:$B,0))&amp;""),""))</f>
        <v/>
      </c>
      <c r="C110" s="5" t="n"/>
      <c r="D110" s="5" t="n"/>
      <c r="E110" s="5" t="n"/>
      <c r="F110" s="5" t="n"/>
      <c r="G110" s="5" t="n"/>
      <c r="H110" s="5" t="n"/>
      <c r="I110" s="5" t="n"/>
      <c r="J110" s="5" t="n"/>
      <c r="K110" s="5" t="n"/>
      <c r="L110" s="5" t="n"/>
      <c r="M110" s="5" t="n"/>
      <c r="N110" s="5" t="n"/>
      <c r="O110" s="5" t="n"/>
      <c r="P110" s="5" t="n"/>
      <c r="Q110" s="5" t="n"/>
      <c r="R110" s="5" t="n"/>
      <c r="S110" s="15">
        <f>IF(M47="","",IFERROR(IFERROR(INDEX(Data_Talents!$F:$F,MATCH(M47,Data_Talents!$A:$A,0))&amp;"",INDEX(Data_Talents!$F:$F,MATCH(TRIM(IFERROR(LEFT(M47,FIND("(",M47)-1),M47)),Data_Talents!$B:$B,0))&amp;""),""))</f>
        <v/>
      </c>
    </row>
    <row r="111">
      <c r="A111" s="24">
        <f>IF(M48="","",M48)</f>
        <v/>
      </c>
      <c r="B111" s="25">
        <f>IF(M48="","",IFERROR(IFERROR(INDEX(Data_Talents!$E:$E,MATCH(M48,Data_Talents!$A:$A,0))&amp;"",INDEX(Data_Talents!$E:$E,MATCH(TRIM(IFERROR(LEFT(M48,FIND("(",M48)-1),M48)),Data_Talents!$B:$B,0))&amp;""),""))</f>
        <v/>
      </c>
      <c r="C111" s="5" t="n"/>
      <c r="D111" s="5" t="n"/>
      <c r="E111" s="5" t="n"/>
      <c r="F111" s="5" t="n"/>
      <c r="G111" s="5" t="n"/>
      <c r="H111" s="5" t="n"/>
      <c r="I111" s="5" t="n"/>
      <c r="J111" s="5" t="n"/>
      <c r="K111" s="5" t="n"/>
      <c r="L111" s="5" t="n"/>
      <c r="M111" s="5" t="n"/>
      <c r="N111" s="5" t="n"/>
      <c r="O111" s="5" t="n"/>
      <c r="P111" s="5" t="n"/>
      <c r="Q111" s="5" t="n"/>
      <c r="R111" s="5" t="n"/>
      <c r="S111" s="15">
        <f>IF(M48="","",IFERROR(IFERROR(INDEX(Data_Talents!$F:$F,MATCH(M48,Data_Talents!$A:$A,0))&amp;"",INDEX(Data_Talents!$F:$F,MATCH(TRIM(IFERROR(LEFT(M48,FIND("(",M48)-1),M48)),Data_Talents!$B:$B,0))&amp;""),""))</f>
        <v/>
      </c>
    </row>
    <row r="112">
      <c r="A112" s="24">
        <f>IF(M49="","",M49)</f>
        <v/>
      </c>
      <c r="B112" s="25">
        <f>IF(M49="","",IFERROR(IFERROR(INDEX(Data_Talents!$E:$E,MATCH(M49,Data_Talents!$A:$A,0))&amp;"",INDEX(Data_Talents!$E:$E,MATCH(TRIM(IFERROR(LEFT(M49,FIND("(",M49)-1),M49)),Data_Talents!$B:$B,0))&amp;""),""))</f>
        <v/>
      </c>
      <c r="C112" s="5" t="n"/>
      <c r="D112" s="5" t="n"/>
      <c r="E112" s="5" t="n"/>
      <c r="F112" s="5" t="n"/>
      <c r="G112" s="5" t="n"/>
      <c r="H112" s="5" t="n"/>
      <c r="I112" s="5" t="n"/>
      <c r="J112" s="5" t="n"/>
      <c r="K112" s="5" t="n"/>
      <c r="L112" s="5" t="n"/>
      <c r="M112" s="5" t="n"/>
      <c r="N112" s="5" t="n"/>
      <c r="O112" s="5" t="n"/>
      <c r="P112" s="5" t="n"/>
      <c r="Q112" s="5" t="n"/>
      <c r="R112" s="5" t="n"/>
      <c r="S112" s="15">
        <f>IF(M49="","",IFERROR(IFERROR(INDEX(Data_Talents!$F:$F,MATCH(M49,Data_Talents!$A:$A,0))&amp;"",INDEX(Data_Talents!$F:$F,MATCH(TRIM(IFERROR(LEFT(M49,FIND("(",M49)-1),M49)),Data_Talents!$B:$B,0))&amp;""),""))</f>
        <v/>
      </c>
    </row>
    <row r="113">
      <c r="A113" s="24">
        <f>IF(M50="","",M50)</f>
        <v/>
      </c>
      <c r="B113" s="25">
        <f>IF(M50="","",IFERROR(IFERROR(INDEX(Data_Talents!$E:$E,MATCH(M50,Data_Talents!$A:$A,0))&amp;"",INDEX(Data_Talents!$E:$E,MATCH(TRIM(IFERROR(LEFT(M50,FIND("(",M50)-1),M50)),Data_Talents!$B:$B,0))&amp;""),""))</f>
        <v/>
      </c>
      <c r="C113" s="5" t="n"/>
      <c r="D113" s="5" t="n"/>
      <c r="E113" s="5" t="n"/>
      <c r="F113" s="5" t="n"/>
      <c r="G113" s="5" t="n"/>
      <c r="H113" s="5" t="n"/>
      <c r="I113" s="5" t="n"/>
      <c r="J113" s="5" t="n"/>
      <c r="K113" s="5" t="n"/>
      <c r="L113" s="5" t="n"/>
      <c r="M113" s="5" t="n"/>
      <c r="N113" s="5" t="n"/>
      <c r="O113" s="5" t="n"/>
      <c r="P113" s="5" t="n"/>
      <c r="Q113" s="5" t="n"/>
      <c r="R113" s="5" t="n"/>
      <c r="S113" s="15">
        <f>IF(M50="","",IFERROR(IFERROR(INDEX(Data_Talents!$F:$F,MATCH(M50,Data_Talents!$A:$A,0))&amp;"",INDEX(Data_Talents!$F:$F,MATCH(TRIM(IFERROR(LEFT(M50,FIND("(",M50)-1),M50)),Data_Talents!$B:$B,0))&amp;""),""))</f>
        <v/>
      </c>
    </row>
    <row r="114">
      <c r="A114" s="24">
        <f>IF(M51="","",M51)</f>
        <v/>
      </c>
      <c r="B114" s="25">
        <f>IF(M51="","",IFERROR(IFERROR(INDEX(Data_Talents!$E:$E,MATCH(M51,Data_Talents!$A:$A,0))&amp;"",INDEX(Data_Talents!$E:$E,MATCH(TRIM(IFERROR(LEFT(M51,FIND("(",M51)-1),M51)),Data_Talents!$B:$B,0))&amp;""),""))</f>
        <v/>
      </c>
      <c r="C114" s="5" t="n"/>
      <c r="D114" s="5" t="n"/>
      <c r="E114" s="5" t="n"/>
      <c r="F114" s="5" t="n"/>
      <c r="G114" s="5" t="n"/>
      <c r="H114" s="5" t="n"/>
      <c r="I114" s="5" t="n"/>
      <c r="J114" s="5" t="n"/>
      <c r="K114" s="5" t="n"/>
      <c r="L114" s="5" t="n"/>
      <c r="M114" s="5" t="n"/>
      <c r="N114" s="5" t="n"/>
      <c r="O114" s="5" t="n"/>
      <c r="P114" s="5" t="n"/>
      <c r="Q114" s="5" t="n"/>
      <c r="R114" s="5" t="n"/>
      <c r="S114" s="15">
        <f>IF(M51="","",IFERROR(IFERROR(INDEX(Data_Talents!$F:$F,MATCH(M51,Data_Talents!$A:$A,0))&amp;"",INDEX(Data_Talents!$F:$F,MATCH(TRIM(IFERROR(LEFT(M51,FIND("(",M51)-1),M51)),Data_Talents!$B:$B,0))&amp;""),""))</f>
        <v/>
      </c>
    </row>
    <row r="115">
      <c r="A115" s="24">
        <f>IF(M52="","",M52)</f>
        <v/>
      </c>
      <c r="B115" s="25">
        <f>IF(M52="","",IFERROR(IFERROR(INDEX(Data_Talents!$E:$E,MATCH(M52,Data_Talents!$A:$A,0))&amp;"",INDEX(Data_Talents!$E:$E,MATCH(TRIM(IFERROR(LEFT(M52,FIND("(",M52)-1),M52)),Data_Talents!$B:$B,0))&amp;""),""))</f>
        <v/>
      </c>
      <c r="C115" s="5" t="n"/>
      <c r="D115" s="5" t="n"/>
      <c r="E115" s="5" t="n"/>
      <c r="F115" s="5" t="n"/>
      <c r="G115" s="5" t="n"/>
      <c r="H115" s="5" t="n"/>
      <c r="I115" s="5" t="n"/>
      <c r="J115" s="5" t="n"/>
      <c r="K115" s="5" t="n"/>
      <c r="L115" s="5" t="n"/>
      <c r="M115" s="5" t="n"/>
      <c r="N115" s="5" t="n"/>
      <c r="O115" s="5" t="n"/>
      <c r="P115" s="5" t="n"/>
      <c r="Q115" s="5" t="n"/>
      <c r="R115" s="5" t="n"/>
      <c r="S115" s="15">
        <f>IF(M52="","",IFERROR(IFERROR(INDEX(Data_Talents!$F:$F,MATCH(M52,Data_Talents!$A:$A,0))&amp;"",INDEX(Data_Talents!$F:$F,MATCH(TRIM(IFERROR(LEFT(M52,FIND("(",M52)-1),M52)),Data_Talents!$B:$B,0))&amp;""),""))</f>
        <v/>
      </c>
    </row>
    <row r="116">
      <c r="A116" s="24">
        <f>IF(M53="","",M53)</f>
        <v/>
      </c>
      <c r="B116" s="25">
        <f>IF(M53="","",IFERROR(IFERROR(INDEX(Data_Talents!$E:$E,MATCH(M53,Data_Talents!$A:$A,0))&amp;"",INDEX(Data_Talents!$E:$E,MATCH(TRIM(IFERROR(LEFT(M53,FIND("(",M53)-1),M53)),Data_Talents!$B:$B,0))&amp;""),""))</f>
        <v/>
      </c>
      <c r="C116" s="5" t="n"/>
      <c r="D116" s="5" t="n"/>
      <c r="E116" s="5" t="n"/>
      <c r="F116" s="5" t="n"/>
      <c r="G116" s="5" t="n"/>
      <c r="H116" s="5" t="n"/>
      <c r="I116" s="5" t="n"/>
      <c r="J116" s="5" t="n"/>
      <c r="K116" s="5" t="n"/>
      <c r="L116" s="5" t="n"/>
      <c r="M116" s="5" t="n"/>
      <c r="N116" s="5" t="n"/>
      <c r="O116" s="5" t="n"/>
      <c r="P116" s="5" t="n"/>
      <c r="Q116" s="5" t="n"/>
      <c r="R116" s="5" t="n"/>
      <c r="S116" s="15">
        <f>IF(M53="","",IFERROR(IFERROR(INDEX(Data_Talents!$F:$F,MATCH(M53,Data_Talents!$A:$A,0))&amp;"",INDEX(Data_Talents!$F:$F,MATCH(TRIM(IFERROR(LEFT(M53,FIND("(",M53)-1),M53)),Data_Talents!$B:$B,0))&amp;""),""))</f>
        <v/>
      </c>
    </row>
    <row r="117">
      <c r="A117" s="24">
        <f>IF(M54="","",M54)</f>
        <v/>
      </c>
      <c r="B117" s="25">
        <f>IF(M54="","",IFERROR(IFERROR(INDEX(Data_Talents!$E:$E,MATCH(M54,Data_Talents!$A:$A,0))&amp;"",INDEX(Data_Talents!$E:$E,MATCH(TRIM(IFERROR(LEFT(M54,FIND("(",M54)-1),M54)),Data_Talents!$B:$B,0))&amp;""),""))</f>
        <v/>
      </c>
      <c r="C117" s="5" t="n"/>
      <c r="D117" s="5" t="n"/>
      <c r="E117" s="5" t="n"/>
      <c r="F117" s="5" t="n"/>
      <c r="G117" s="5" t="n"/>
      <c r="H117" s="5" t="n"/>
      <c r="I117" s="5" t="n"/>
      <c r="J117" s="5" t="n"/>
      <c r="K117" s="5" t="n"/>
      <c r="L117" s="5" t="n"/>
      <c r="M117" s="5" t="n"/>
      <c r="N117" s="5" t="n"/>
      <c r="O117" s="5" t="n"/>
      <c r="P117" s="5" t="n"/>
      <c r="Q117" s="5" t="n"/>
      <c r="R117" s="5" t="n"/>
      <c r="S117" s="15">
        <f>IF(M54="","",IFERROR(IFERROR(INDEX(Data_Talents!$F:$F,MATCH(M54,Data_Talents!$A:$A,0))&amp;"",INDEX(Data_Talents!$F:$F,MATCH(TRIM(IFERROR(LEFT(M54,FIND("(",M54)-1),M54)),Data_Talents!$B:$B,0))&amp;""),""))</f>
        <v/>
      </c>
    </row>
    <row r="118">
      <c r="A118" s="24">
        <f>IF(M55="","",M55)</f>
        <v/>
      </c>
      <c r="B118" s="25">
        <f>IF(M55="","",IFERROR(IFERROR(INDEX(Data_Talents!$E:$E,MATCH(M55,Data_Talents!$A:$A,0))&amp;"",INDEX(Data_Talents!$E:$E,MATCH(TRIM(IFERROR(LEFT(M55,FIND("(",M55)-1),M55)),Data_Talents!$B:$B,0))&amp;""),""))</f>
        <v/>
      </c>
      <c r="C118" s="5" t="n"/>
      <c r="D118" s="5" t="n"/>
      <c r="E118" s="5" t="n"/>
      <c r="F118" s="5" t="n"/>
      <c r="G118" s="5" t="n"/>
      <c r="H118" s="5" t="n"/>
      <c r="I118" s="5" t="n"/>
      <c r="J118" s="5" t="n"/>
      <c r="K118" s="5" t="n"/>
      <c r="L118" s="5" t="n"/>
      <c r="M118" s="5" t="n"/>
      <c r="N118" s="5" t="n"/>
      <c r="O118" s="5" t="n"/>
      <c r="P118" s="5" t="n"/>
      <c r="Q118" s="5" t="n"/>
      <c r="R118" s="5" t="n"/>
      <c r="S118" s="15">
        <f>IF(M55="","",IFERROR(IFERROR(INDEX(Data_Talents!$F:$F,MATCH(M55,Data_Talents!$A:$A,0))&amp;"",INDEX(Data_Talents!$F:$F,MATCH(TRIM(IFERROR(LEFT(M55,FIND("(",M55)-1),M55)),Data_Talents!$B:$B,0))&amp;""),""))</f>
        <v/>
      </c>
    </row>
    <row r="119">
      <c r="A119" s="24">
        <f>IF(M56="","",M56)</f>
        <v/>
      </c>
      <c r="B119" s="25">
        <f>IF(M56="","",IFERROR(IFERROR(INDEX(Data_Talents!$E:$E,MATCH(M56,Data_Talents!$A:$A,0))&amp;"",INDEX(Data_Talents!$E:$E,MATCH(TRIM(IFERROR(LEFT(M56,FIND("(",M56)-1),M56)),Data_Talents!$B:$B,0))&amp;""),""))</f>
        <v/>
      </c>
      <c r="C119" s="5" t="n"/>
      <c r="D119" s="5" t="n"/>
      <c r="E119" s="5" t="n"/>
      <c r="F119" s="5" t="n"/>
      <c r="G119" s="5" t="n"/>
      <c r="H119" s="5" t="n"/>
      <c r="I119" s="5" t="n"/>
      <c r="J119" s="5" t="n"/>
      <c r="K119" s="5" t="n"/>
      <c r="L119" s="5" t="n"/>
      <c r="M119" s="5" t="n"/>
      <c r="N119" s="5" t="n"/>
      <c r="O119" s="5" t="n"/>
      <c r="P119" s="5" t="n"/>
      <c r="Q119" s="5" t="n"/>
      <c r="R119" s="5" t="n"/>
      <c r="S119" s="15">
        <f>IF(M56="","",IFERROR(IFERROR(INDEX(Data_Talents!$F:$F,MATCH(M56,Data_Talents!$A:$A,0))&amp;"",INDEX(Data_Talents!$F:$F,MATCH(TRIM(IFERROR(LEFT(M56,FIND("(",M56)-1),M56)),Data_Talents!$B:$B,0))&amp;""),""))</f>
        <v/>
      </c>
    </row>
    <row r="120">
      <c r="A120" s="24">
        <f>IF(M57="","",M57)</f>
        <v/>
      </c>
      <c r="B120" s="25">
        <f>IF(M57="","",IFERROR(IFERROR(INDEX(Data_Talents!$E:$E,MATCH(M57,Data_Talents!$A:$A,0))&amp;"",INDEX(Data_Talents!$E:$E,MATCH(TRIM(IFERROR(LEFT(M57,FIND("(",M57)-1),M57)),Data_Talents!$B:$B,0))&amp;""),""))</f>
        <v/>
      </c>
      <c r="C120" s="5" t="n"/>
      <c r="D120" s="5" t="n"/>
      <c r="E120" s="5" t="n"/>
      <c r="F120" s="5" t="n"/>
      <c r="G120" s="5" t="n"/>
      <c r="H120" s="5" t="n"/>
      <c r="I120" s="5" t="n"/>
      <c r="J120" s="5" t="n"/>
      <c r="K120" s="5" t="n"/>
      <c r="L120" s="5" t="n"/>
      <c r="M120" s="5" t="n"/>
      <c r="N120" s="5" t="n"/>
      <c r="O120" s="5" t="n"/>
      <c r="P120" s="5" t="n"/>
      <c r="Q120" s="5" t="n"/>
      <c r="R120" s="5" t="n"/>
      <c r="S120" s="15">
        <f>IF(M57="","",IFERROR(IFERROR(INDEX(Data_Talents!$F:$F,MATCH(M57,Data_Talents!$A:$A,0))&amp;"",INDEX(Data_Talents!$F:$F,MATCH(TRIM(IFERROR(LEFT(M57,FIND("(",M57)-1),M57)),Data_Talents!$B:$B,0))&amp;""),""))</f>
        <v/>
      </c>
    </row>
    <row r="121">
      <c r="A121" s="24">
        <f>IF(M58="","",M58)</f>
        <v/>
      </c>
      <c r="B121" s="25">
        <f>IF(M58="","",IFERROR(IFERROR(INDEX(Data_Talents!$E:$E,MATCH(M58,Data_Talents!$A:$A,0))&amp;"",INDEX(Data_Talents!$E:$E,MATCH(TRIM(IFERROR(LEFT(M58,FIND("(",M58)-1),M58)),Data_Talents!$B:$B,0))&amp;""),""))</f>
        <v/>
      </c>
      <c r="C121" s="5" t="n"/>
      <c r="D121" s="5" t="n"/>
      <c r="E121" s="5" t="n"/>
      <c r="F121" s="5" t="n"/>
      <c r="G121" s="5" t="n"/>
      <c r="H121" s="5" t="n"/>
      <c r="I121" s="5" t="n"/>
      <c r="J121" s="5" t="n"/>
      <c r="K121" s="5" t="n"/>
      <c r="L121" s="5" t="n"/>
      <c r="M121" s="5" t="n"/>
      <c r="N121" s="5" t="n"/>
      <c r="O121" s="5" t="n"/>
      <c r="P121" s="5" t="n"/>
      <c r="Q121" s="5" t="n"/>
      <c r="R121" s="5" t="n"/>
      <c r="S121" s="15">
        <f>IF(M58="","",IFERROR(IFERROR(INDEX(Data_Talents!$F:$F,MATCH(M58,Data_Talents!$A:$A,0))&amp;"",INDEX(Data_Talents!$F:$F,MATCH(TRIM(IFERROR(LEFT(M58,FIND("(",M58)-1),M58)),Data_Talents!$B:$B,0))&amp;""),""))</f>
        <v/>
      </c>
    </row>
    <row r="122">
      <c r="A122" s="24">
        <f>IF(M59="","",M59)</f>
        <v/>
      </c>
      <c r="B122" s="25">
        <f>IF(M59="","",IFERROR(IFERROR(INDEX(Data_Talents!$E:$E,MATCH(M59,Data_Talents!$A:$A,0))&amp;"",INDEX(Data_Talents!$E:$E,MATCH(TRIM(IFERROR(LEFT(M59,FIND("(",M59)-1),M59)),Data_Talents!$B:$B,0))&amp;""),""))</f>
        <v/>
      </c>
      <c r="C122" s="5" t="n"/>
      <c r="D122" s="5" t="n"/>
      <c r="E122" s="5" t="n"/>
      <c r="F122" s="5" t="n"/>
      <c r="G122" s="5" t="n"/>
      <c r="H122" s="5" t="n"/>
      <c r="I122" s="5" t="n"/>
      <c r="J122" s="5" t="n"/>
      <c r="K122" s="5" t="n"/>
      <c r="L122" s="5" t="n"/>
      <c r="M122" s="5" t="n"/>
      <c r="N122" s="5" t="n"/>
      <c r="O122" s="5" t="n"/>
      <c r="P122" s="5" t="n"/>
      <c r="Q122" s="5" t="n"/>
      <c r="R122" s="5" t="n"/>
      <c r="S122" s="15">
        <f>IF(M59="","",IFERROR(IFERROR(INDEX(Data_Talents!$F:$F,MATCH(M59,Data_Talents!$A:$A,0))&amp;"",INDEX(Data_Talents!$F:$F,MATCH(TRIM(IFERROR(LEFT(M59,FIND("(",M59)-1),M59)),Data_Talents!$B:$B,0))&amp;""),""))</f>
        <v/>
      </c>
    </row>
    <row r="123">
      <c r="A123" s="24">
        <f>IF(M60="","",M60)</f>
        <v/>
      </c>
      <c r="B123" s="25">
        <f>IF(M60="","",IFERROR(IFERROR(INDEX(Data_Talents!$E:$E,MATCH(M60,Data_Talents!$A:$A,0))&amp;"",INDEX(Data_Talents!$E:$E,MATCH(TRIM(IFERROR(LEFT(M60,FIND("(",M60)-1),M60)),Data_Talents!$B:$B,0))&amp;""),""))</f>
        <v/>
      </c>
      <c r="C123" s="5" t="n"/>
      <c r="D123" s="5" t="n"/>
      <c r="E123" s="5" t="n"/>
      <c r="F123" s="5" t="n"/>
      <c r="G123" s="5" t="n"/>
      <c r="H123" s="5" t="n"/>
      <c r="I123" s="5" t="n"/>
      <c r="J123" s="5" t="n"/>
      <c r="K123" s="5" t="n"/>
      <c r="L123" s="5" t="n"/>
      <c r="M123" s="5" t="n"/>
      <c r="N123" s="5" t="n"/>
      <c r="O123" s="5" t="n"/>
      <c r="P123" s="5" t="n"/>
      <c r="Q123" s="5" t="n"/>
      <c r="R123" s="5" t="n"/>
      <c r="S123" s="15">
        <f>IF(M60="","",IFERROR(IFERROR(INDEX(Data_Talents!$F:$F,MATCH(M60,Data_Talents!$A:$A,0))&amp;"",INDEX(Data_Talents!$F:$F,MATCH(TRIM(IFERROR(LEFT(M60,FIND("(",M60)-1),M60)),Data_Talents!$B:$B,0))&amp;""),""))</f>
        <v/>
      </c>
    </row>
    <row r="124">
      <c r="A124" s="24">
        <f>IF(M61="","",M61)</f>
        <v/>
      </c>
      <c r="B124" s="25">
        <f>IF(M61="","",IFERROR(IFERROR(INDEX(Data_Talents!$E:$E,MATCH(M61,Data_Talents!$A:$A,0))&amp;"",INDEX(Data_Talents!$E:$E,MATCH(TRIM(IFERROR(LEFT(M61,FIND("(",M61)-1),M61)),Data_Talents!$B:$B,0))&amp;""),""))</f>
        <v/>
      </c>
      <c r="C124" s="5" t="n"/>
      <c r="D124" s="5" t="n"/>
      <c r="E124" s="5" t="n"/>
      <c r="F124" s="5" t="n"/>
      <c r="G124" s="5" t="n"/>
      <c r="H124" s="5" t="n"/>
      <c r="I124" s="5" t="n"/>
      <c r="J124" s="5" t="n"/>
      <c r="K124" s="5" t="n"/>
      <c r="L124" s="5" t="n"/>
      <c r="M124" s="5" t="n"/>
      <c r="N124" s="5" t="n"/>
      <c r="O124" s="5" t="n"/>
      <c r="P124" s="5" t="n"/>
      <c r="Q124" s="5" t="n"/>
      <c r="R124" s="5" t="n"/>
      <c r="S124" s="15">
        <f>IF(M61="","",IFERROR(IFERROR(INDEX(Data_Talents!$F:$F,MATCH(M61,Data_Talents!$A:$A,0))&amp;"",INDEX(Data_Talents!$F:$F,MATCH(TRIM(IFERROR(LEFT(M61,FIND("(",M61)-1),M61)),Data_Talents!$B:$B,0))&amp;""),""))</f>
        <v/>
      </c>
    </row>
    <row r="125">
      <c r="A125" s="24">
        <f>IF(M62="","",M62)</f>
        <v/>
      </c>
      <c r="B125" s="25">
        <f>IF(M62="","",IFERROR(IFERROR(INDEX(Data_Talents!$E:$E,MATCH(M62,Data_Talents!$A:$A,0))&amp;"",INDEX(Data_Talents!$E:$E,MATCH(TRIM(IFERROR(LEFT(M62,FIND("(",M62)-1),M62)),Data_Talents!$B:$B,0))&amp;""),""))</f>
        <v/>
      </c>
      <c r="C125" s="5" t="n"/>
      <c r="D125" s="5" t="n"/>
      <c r="E125" s="5" t="n"/>
      <c r="F125" s="5" t="n"/>
      <c r="G125" s="5" t="n"/>
      <c r="H125" s="5" t="n"/>
      <c r="I125" s="5" t="n"/>
      <c r="J125" s="5" t="n"/>
      <c r="K125" s="5" t="n"/>
      <c r="L125" s="5" t="n"/>
      <c r="M125" s="5" t="n"/>
      <c r="N125" s="5" t="n"/>
      <c r="O125" s="5" t="n"/>
      <c r="P125" s="5" t="n"/>
      <c r="Q125" s="5" t="n"/>
      <c r="R125" s="5" t="n"/>
      <c r="S125" s="15">
        <f>IF(M62="","",IFERROR(IFERROR(INDEX(Data_Talents!$F:$F,MATCH(M62,Data_Talents!$A:$A,0))&amp;"",INDEX(Data_Talents!$F:$F,MATCH(TRIM(IFERROR(LEFT(M62,FIND("(",M62)-1),M62)),Data_Talents!$B:$B,0))&amp;""),""))</f>
        <v/>
      </c>
    </row>
    <row r="126">
      <c r="A126" s="24">
        <f>IF(M63="","",M63)</f>
        <v/>
      </c>
      <c r="B126" s="25">
        <f>IF(M63="","",IFERROR(IFERROR(INDEX(Data_Talents!$E:$E,MATCH(M63,Data_Talents!$A:$A,0))&amp;"",INDEX(Data_Talents!$E:$E,MATCH(TRIM(IFERROR(LEFT(M63,FIND("(",M63)-1),M63)),Data_Talents!$B:$B,0))&amp;""),""))</f>
        <v/>
      </c>
      <c r="C126" s="5" t="n"/>
      <c r="D126" s="5" t="n"/>
      <c r="E126" s="5" t="n"/>
      <c r="F126" s="5" t="n"/>
      <c r="G126" s="5" t="n"/>
      <c r="H126" s="5" t="n"/>
      <c r="I126" s="5" t="n"/>
      <c r="J126" s="5" t="n"/>
      <c r="K126" s="5" t="n"/>
      <c r="L126" s="5" t="n"/>
      <c r="M126" s="5" t="n"/>
      <c r="N126" s="5" t="n"/>
      <c r="O126" s="5" t="n"/>
      <c r="P126" s="5" t="n"/>
      <c r="Q126" s="5" t="n"/>
      <c r="R126" s="5" t="n"/>
      <c r="S126" s="15">
        <f>IF(M63="","",IFERROR(IFERROR(INDEX(Data_Talents!$F:$F,MATCH(M63,Data_Talents!$A:$A,0))&amp;"",INDEX(Data_Talents!$F:$F,MATCH(TRIM(IFERROR(LEFT(M63,FIND("(",M63)-1),M63)),Data_Talents!$B:$B,0))&amp;""),""))</f>
        <v/>
      </c>
    </row>
    <row r="127">
      <c r="A127" s="24">
        <f>IF(M64="","",M64)</f>
        <v/>
      </c>
      <c r="B127" s="25">
        <f>IF(M64="","",IFERROR(IFERROR(INDEX(Data_Talents!$E:$E,MATCH(M64,Data_Talents!$A:$A,0))&amp;"",INDEX(Data_Talents!$E:$E,MATCH(TRIM(IFERROR(LEFT(M64,FIND("(",M64)-1),M64)),Data_Talents!$B:$B,0))&amp;""),""))</f>
        <v/>
      </c>
      <c r="C127" s="5" t="n"/>
      <c r="D127" s="5" t="n"/>
      <c r="E127" s="5" t="n"/>
      <c r="F127" s="5" t="n"/>
      <c r="G127" s="5" t="n"/>
      <c r="H127" s="5" t="n"/>
      <c r="I127" s="5" t="n"/>
      <c r="J127" s="5" t="n"/>
      <c r="K127" s="5" t="n"/>
      <c r="L127" s="5" t="n"/>
      <c r="M127" s="5" t="n"/>
      <c r="N127" s="5" t="n"/>
      <c r="O127" s="5" t="n"/>
      <c r="P127" s="5" t="n"/>
      <c r="Q127" s="5" t="n"/>
      <c r="R127" s="5" t="n"/>
      <c r="S127" s="15">
        <f>IF(M64="","",IFERROR(IFERROR(INDEX(Data_Talents!$F:$F,MATCH(M64,Data_Talents!$A:$A,0))&amp;"",INDEX(Data_Talents!$F:$F,MATCH(TRIM(IFERROR(LEFT(M64,FIND("(",M64)-1),M64)),Data_Talents!$B:$B,0))&amp;""),""))</f>
        <v/>
      </c>
    </row>
    <row r="128">
      <c r="A128" s="24">
        <f>IF(M65="","",M65)</f>
        <v/>
      </c>
      <c r="B128" s="25">
        <f>IF(M65="","",IFERROR(IFERROR(INDEX(Data_Talents!$E:$E,MATCH(M65,Data_Talents!$A:$A,0))&amp;"",INDEX(Data_Talents!$E:$E,MATCH(TRIM(IFERROR(LEFT(M65,FIND("(",M65)-1),M65)),Data_Talents!$B:$B,0))&amp;""),""))</f>
        <v/>
      </c>
      <c r="C128" s="5" t="n"/>
      <c r="D128" s="5" t="n"/>
      <c r="E128" s="5" t="n"/>
      <c r="F128" s="5" t="n"/>
      <c r="G128" s="5" t="n"/>
      <c r="H128" s="5" t="n"/>
      <c r="I128" s="5" t="n"/>
      <c r="J128" s="5" t="n"/>
      <c r="K128" s="5" t="n"/>
      <c r="L128" s="5" t="n"/>
      <c r="M128" s="5" t="n"/>
      <c r="N128" s="5" t="n"/>
      <c r="O128" s="5" t="n"/>
      <c r="P128" s="5" t="n"/>
      <c r="Q128" s="5" t="n"/>
      <c r="R128" s="5" t="n"/>
      <c r="S128" s="15">
        <f>IF(M65="","",IFERROR(IFERROR(INDEX(Data_Talents!$F:$F,MATCH(M65,Data_Talents!$A:$A,0))&amp;"",INDEX(Data_Talents!$F:$F,MATCH(TRIM(IFERROR(LEFT(M65,FIND("(",M65)-1),M65)),Data_Talents!$B:$B,0))&amp;""),""))</f>
        <v/>
      </c>
    </row>
    <row r="129">
      <c r="A129" s="24">
        <f>IF(M66="","",M66)</f>
        <v/>
      </c>
      <c r="B129" s="25">
        <f>IF(M66="","",IFERROR(IFERROR(INDEX(Data_Talents!$E:$E,MATCH(M66,Data_Talents!$A:$A,0))&amp;"",INDEX(Data_Talents!$E:$E,MATCH(TRIM(IFERROR(LEFT(M66,FIND("(",M66)-1),M66)),Data_Talents!$B:$B,0))&amp;""),""))</f>
        <v/>
      </c>
      <c r="C129" s="5" t="n"/>
      <c r="D129" s="5" t="n"/>
      <c r="E129" s="5" t="n"/>
      <c r="F129" s="5" t="n"/>
      <c r="G129" s="5" t="n"/>
      <c r="H129" s="5" t="n"/>
      <c r="I129" s="5" t="n"/>
      <c r="J129" s="5" t="n"/>
      <c r="K129" s="5" t="n"/>
      <c r="L129" s="5" t="n"/>
      <c r="M129" s="5" t="n"/>
      <c r="N129" s="5" t="n"/>
      <c r="O129" s="5" t="n"/>
      <c r="P129" s="5" t="n"/>
      <c r="Q129" s="5" t="n"/>
      <c r="R129" s="5" t="n"/>
      <c r="S129" s="15">
        <f>IF(M66="","",IFERROR(IFERROR(INDEX(Data_Talents!$F:$F,MATCH(M66,Data_Talents!$A:$A,0))&amp;"",INDEX(Data_Talents!$F:$F,MATCH(TRIM(IFERROR(LEFT(M66,FIND("(",M66)-1),M66)),Data_Talents!$B:$B,0))&amp;""),""))</f>
        <v/>
      </c>
    </row>
    <row r="130">
      <c r="A130" s="24">
        <f>IF(M67="","",M67)</f>
        <v/>
      </c>
      <c r="B130" s="25">
        <f>IF(M67="","",IFERROR(IFERROR(INDEX(Data_Talents!$E:$E,MATCH(M67,Data_Talents!$A:$A,0))&amp;"",INDEX(Data_Talents!$E:$E,MATCH(TRIM(IFERROR(LEFT(M67,FIND("(",M67)-1),M67)),Data_Talents!$B:$B,0))&amp;""),""))</f>
        <v/>
      </c>
      <c r="C130" s="5" t="n"/>
      <c r="D130" s="5" t="n"/>
      <c r="E130" s="5" t="n"/>
      <c r="F130" s="5" t="n"/>
      <c r="G130" s="5" t="n"/>
      <c r="H130" s="5" t="n"/>
      <c r="I130" s="5" t="n"/>
      <c r="J130" s="5" t="n"/>
      <c r="K130" s="5" t="n"/>
      <c r="L130" s="5" t="n"/>
      <c r="M130" s="5" t="n"/>
      <c r="N130" s="5" t="n"/>
      <c r="O130" s="5" t="n"/>
      <c r="P130" s="5" t="n"/>
      <c r="Q130" s="5" t="n"/>
      <c r="R130" s="5" t="n"/>
      <c r="S130" s="15">
        <f>IF(M67="","",IFERROR(IFERROR(INDEX(Data_Talents!$F:$F,MATCH(M67,Data_Talents!$A:$A,0))&amp;"",INDEX(Data_Talents!$F:$F,MATCH(TRIM(IFERROR(LEFT(M67,FIND("(",M67)-1),M67)),Data_Talents!$B:$B,0))&amp;""),""))</f>
        <v/>
      </c>
    </row>
    <row r="131">
      <c r="A131" s="24">
        <f>IF(M68="","",M68)</f>
        <v/>
      </c>
      <c r="B131" s="25">
        <f>IF(M68="","",IFERROR(IFERROR(INDEX(Data_Talents!$E:$E,MATCH(M68,Data_Talents!$A:$A,0))&amp;"",INDEX(Data_Talents!$E:$E,MATCH(TRIM(IFERROR(LEFT(M68,FIND("(",M68)-1),M68)),Data_Talents!$B:$B,0))&amp;""),""))</f>
        <v/>
      </c>
      <c r="C131" s="5" t="n"/>
      <c r="D131" s="5" t="n"/>
      <c r="E131" s="5" t="n"/>
      <c r="F131" s="5" t="n"/>
      <c r="G131" s="5" t="n"/>
      <c r="H131" s="5" t="n"/>
      <c r="I131" s="5" t="n"/>
      <c r="J131" s="5" t="n"/>
      <c r="K131" s="5" t="n"/>
      <c r="L131" s="5" t="n"/>
      <c r="M131" s="5" t="n"/>
      <c r="N131" s="5" t="n"/>
      <c r="O131" s="5" t="n"/>
      <c r="P131" s="5" t="n"/>
      <c r="Q131" s="5" t="n"/>
      <c r="R131" s="5" t="n"/>
      <c r="S131" s="15">
        <f>IF(M68="","",IFERROR(IFERROR(INDEX(Data_Talents!$F:$F,MATCH(M68,Data_Talents!$A:$A,0))&amp;"",INDEX(Data_Talents!$F:$F,MATCH(TRIM(IFERROR(LEFT(M68,FIND("(",M68)-1),M68)),Data_Talents!$B:$B,0))&amp;""),""))</f>
        <v/>
      </c>
    </row>
    <row r="132">
      <c r="A132" s="24">
        <f>IF(M69="","",M69)</f>
        <v/>
      </c>
      <c r="B132" s="25">
        <f>IF(M69="","",IFERROR(IFERROR(INDEX(Data_Talents!$E:$E,MATCH(M69,Data_Talents!$A:$A,0))&amp;"",INDEX(Data_Talents!$E:$E,MATCH(TRIM(IFERROR(LEFT(M69,FIND("(",M69)-1),M69)),Data_Talents!$B:$B,0))&amp;""),""))</f>
        <v/>
      </c>
      <c r="C132" s="5" t="n"/>
      <c r="D132" s="5" t="n"/>
      <c r="E132" s="5" t="n"/>
      <c r="F132" s="5" t="n"/>
      <c r="G132" s="5" t="n"/>
      <c r="H132" s="5" t="n"/>
      <c r="I132" s="5" t="n"/>
      <c r="J132" s="5" t="n"/>
      <c r="K132" s="5" t="n"/>
      <c r="L132" s="5" t="n"/>
      <c r="M132" s="5" t="n"/>
      <c r="N132" s="5" t="n"/>
      <c r="O132" s="5" t="n"/>
      <c r="P132" s="5" t="n"/>
      <c r="Q132" s="5" t="n"/>
      <c r="R132" s="5" t="n"/>
      <c r="S132" s="15">
        <f>IF(M69="","",IFERROR(IFERROR(INDEX(Data_Talents!$F:$F,MATCH(M69,Data_Talents!$A:$A,0))&amp;"",INDEX(Data_Talents!$F:$F,MATCH(TRIM(IFERROR(LEFT(M69,FIND("(",M69)-1),M69)),Data_Talents!$B:$B,0))&amp;""),""))</f>
        <v/>
      </c>
    </row>
    <row r="133">
      <c r="A133" s="24">
        <f>IF(M70="","",M70)</f>
        <v/>
      </c>
      <c r="B133" s="25">
        <f>IF(M70="","",IFERROR(IFERROR(INDEX(Data_Talents!$E:$E,MATCH(M70,Data_Talents!$A:$A,0))&amp;"",INDEX(Data_Talents!$E:$E,MATCH(TRIM(IFERROR(LEFT(M70,FIND("(",M70)-1),M70)),Data_Talents!$B:$B,0))&amp;""),""))</f>
        <v/>
      </c>
      <c r="C133" s="5" t="n"/>
      <c r="D133" s="5" t="n"/>
      <c r="E133" s="5" t="n"/>
      <c r="F133" s="5" t="n"/>
      <c r="G133" s="5" t="n"/>
      <c r="H133" s="5" t="n"/>
      <c r="I133" s="5" t="n"/>
      <c r="J133" s="5" t="n"/>
      <c r="K133" s="5" t="n"/>
      <c r="L133" s="5" t="n"/>
      <c r="M133" s="5" t="n"/>
      <c r="N133" s="5" t="n"/>
      <c r="O133" s="5" t="n"/>
      <c r="P133" s="5" t="n"/>
      <c r="Q133" s="5" t="n"/>
      <c r="R133" s="5" t="n"/>
      <c r="S133" s="15">
        <f>IF(M70="","",IFERROR(IFERROR(INDEX(Data_Talents!$F:$F,MATCH(M70,Data_Talents!$A:$A,0))&amp;"",INDEX(Data_Talents!$F:$F,MATCH(TRIM(IFERROR(LEFT(M70,FIND("(",M70)-1),M70)),Data_Talents!$B:$B,0))&amp;""),""))</f>
        <v/>
      </c>
    </row>
    <row r="134">
      <c r="A134" s="24">
        <f>IF(M71="","",M71)</f>
        <v/>
      </c>
      <c r="B134" s="25">
        <f>IF(M71="","",IFERROR(IFERROR(INDEX(Data_Talents!$E:$E,MATCH(M71,Data_Talents!$A:$A,0))&amp;"",INDEX(Data_Talents!$E:$E,MATCH(TRIM(IFERROR(LEFT(M71,FIND("(",M71)-1),M71)),Data_Talents!$B:$B,0))&amp;""),""))</f>
        <v/>
      </c>
      <c r="C134" s="5" t="n"/>
      <c r="D134" s="5" t="n"/>
      <c r="E134" s="5" t="n"/>
      <c r="F134" s="5" t="n"/>
      <c r="G134" s="5" t="n"/>
      <c r="H134" s="5" t="n"/>
      <c r="I134" s="5" t="n"/>
      <c r="J134" s="5" t="n"/>
      <c r="K134" s="5" t="n"/>
      <c r="L134" s="5" t="n"/>
      <c r="M134" s="5" t="n"/>
      <c r="N134" s="5" t="n"/>
      <c r="O134" s="5" t="n"/>
      <c r="P134" s="5" t="n"/>
      <c r="Q134" s="5" t="n"/>
      <c r="R134" s="5" t="n"/>
      <c r="S134" s="15">
        <f>IF(M71="","",IFERROR(IFERROR(INDEX(Data_Talents!$F:$F,MATCH(M71,Data_Talents!$A:$A,0))&amp;"",INDEX(Data_Talents!$F:$F,MATCH(TRIM(IFERROR(LEFT(M71,FIND("(",M71)-1),M71)),Data_Talents!$B:$B,0))&amp;""),""))</f>
        <v/>
      </c>
    </row>
    <row r="135">
      <c r="A135" s="24">
        <f>IF(M72="","",M72)</f>
        <v/>
      </c>
      <c r="B135" s="25">
        <f>IF(M72="","",IFERROR(IFERROR(INDEX(Data_Talents!$E:$E,MATCH(M72,Data_Talents!$A:$A,0))&amp;"",INDEX(Data_Talents!$E:$E,MATCH(TRIM(IFERROR(LEFT(M72,FIND("(",M72)-1),M72)),Data_Talents!$B:$B,0))&amp;""),""))</f>
        <v/>
      </c>
      <c r="C135" s="5" t="n"/>
      <c r="D135" s="5" t="n"/>
      <c r="E135" s="5" t="n"/>
      <c r="F135" s="5" t="n"/>
      <c r="G135" s="5" t="n"/>
      <c r="H135" s="5" t="n"/>
      <c r="I135" s="5" t="n"/>
      <c r="J135" s="5" t="n"/>
      <c r="K135" s="5" t="n"/>
      <c r="L135" s="5" t="n"/>
      <c r="M135" s="5" t="n"/>
      <c r="N135" s="5" t="n"/>
      <c r="O135" s="5" t="n"/>
      <c r="P135" s="5" t="n"/>
      <c r="Q135" s="5" t="n"/>
      <c r="R135" s="5" t="n"/>
      <c r="S135" s="15">
        <f>IF(M72="","",IFERROR(IFERROR(INDEX(Data_Talents!$F:$F,MATCH(M72,Data_Talents!$A:$A,0))&amp;"",INDEX(Data_Talents!$F:$F,MATCH(TRIM(IFERROR(LEFT(M72,FIND("(",M72)-1),M72)),Data_Talents!$B:$B,0))&amp;""),""))</f>
        <v/>
      </c>
    </row>
    <row r="136">
      <c r="A136" s="24">
        <f>IF(M73="","",M73)</f>
        <v/>
      </c>
      <c r="B136" s="25">
        <f>IF(M73="","",IFERROR(IFERROR(INDEX(Data_Talents!$E:$E,MATCH(M73,Data_Talents!$A:$A,0))&amp;"",INDEX(Data_Talents!$E:$E,MATCH(TRIM(IFERROR(LEFT(M73,FIND("(",M73)-1),M73)),Data_Talents!$B:$B,0))&amp;""),""))</f>
        <v/>
      </c>
      <c r="C136" s="5" t="n"/>
      <c r="D136" s="5" t="n"/>
      <c r="E136" s="5" t="n"/>
      <c r="F136" s="5" t="n"/>
      <c r="G136" s="5" t="n"/>
      <c r="H136" s="5" t="n"/>
      <c r="I136" s="5" t="n"/>
      <c r="J136" s="5" t="n"/>
      <c r="K136" s="5" t="n"/>
      <c r="L136" s="5" t="n"/>
      <c r="M136" s="5" t="n"/>
      <c r="N136" s="5" t="n"/>
      <c r="O136" s="5" t="n"/>
      <c r="P136" s="5" t="n"/>
      <c r="Q136" s="5" t="n"/>
      <c r="R136" s="5" t="n"/>
      <c r="S136" s="15">
        <f>IF(M73="","",IFERROR(IFERROR(INDEX(Data_Talents!$F:$F,MATCH(M73,Data_Talents!$A:$A,0))&amp;"",INDEX(Data_Talents!$F:$F,MATCH(TRIM(IFERROR(LEFT(M73,FIND("(",M73)-1),M73)),Data_Talents!$B:$B,0))&amp;""),""))</f>
        <v/>
      </c>
    </row>
    <row r="137">
      <c r="A137" s="24">
        <f>IF(M74="","",M74)</f>
        <v/>
      </c>
      <c r="B137" s="25">
        <f>IF(M74="","",IFERROR(IFERROR(INDEX(Data_Talents!$E:$E,MATCH(M74,Data_Talents!$A:$A,0))&amp;"",INDEX(Data_Talents!$E:$E,MATCH(TRIM(IFERROR(LEFT(M74,FIND("(",M74)-1),M74)),Data_Talents!$B:$B,0))&amp;""),""))</f>
        <v/>
      </c>
      <c r="C137" s="5" t="n"/>
      <c r="D137" s="5" t="n"/>
      <c r="E137" s="5" t="n"/>
      <c r="F137" s="5" t="n"/>
      <c r="G137" s="5" t="n"/>
      <c r="H137" s="5" t="n"/>
      <c r="I137" s="5" t="n"/>
      <c r="J137" s="5" t="n"/>
      <c r="K137" s="5" t="n"/>
      <c r="L137" s="5" t="n"/>
      <c r="M137" s="5" t="n"/>
      <c r="N137" s="5" t="n"/>
      <c r="O137" s="5" t="n"/>
      <c r="P137" s="5" t="n"/>
      <c r="Q137" s="5" t="n"/>
      <c r="R137" s="5" t="n"/>
      <c r="S137" s="15">
        <f>IF(M74="","",IFERROR(IFERROR(INDEX(Data_Talents!$F:$F,MATCH(M74,Data_Talents!$A:$A,0))&amp;"",INDEX(Data_Talents!$F:$F,MATCH(TRIM(IFERROR(LEFT(M74,FIND("(",M74)-1),M74)),Data_Talents!$B:$B,0))&amp;""),""))</f>
        <v/>
      </c>
    </row>
    <row r="138">
      <c r="A138" s="24">
        <f>IF(M75="","",M75)</f>
        <v/>
      </c>
      <c r="B138" s="25">
        <f>IF(M75="","",IFERROR(IFERROR(INDEX(Data_Talents!$E:$E,MATCH(M75,Data_Talents!$A:$A,0))&amp;"",INDEX(Data_Talents!$E:$E,MATCH(TRIM(IFERROR(LEFT(M75,FIND("(",M75)-1),M75)),Data_Talents!$B:$B,0))&amp;""),""))</f>
        <v/>
      </c>
      <c r="C138" s="5" t="n"/>
      <c r="D138" s="5" t="n"/>
      <c r="E138" s="5" t="n"/>
      <c r="F138" s="5" t="n"/>
      <c r="G138" s="5" t="n"/>
      <c r="H138" s="5" t="n"/>
      <c r="I138" s="5" t="n"/>
      <c r="J138" s="5" t="n"/>
      <c r="K138" s="5" t="n"/>
      <c r="L138" s="5" t="n"/>
      <c r="M138" s="5" t="n"/>
      <c r="N138" s="5" t="n"/>
      <c r="O138" s="5" t="n"/>
      <c r="P138" s="5" t="n"/>
      <c r="Q138" s="5" t="n"/>
      <c r="R138" s="5" t="n"/>
      <c r="S138" s="15">
        <f>IF(M75="","",IFERROR(IFERROR(INDEX(Data_Talents!$F:$F,MATCH(M75,Data_Talents!$A:$A,0))&amp;"",INDEX(Data_Talents!$F:$F,MATCH(TRIM(IFERROR(LEFT(M75,FIND("(",M75)-1),M75)),Data_Talents!$B:$B,0))&amp;""),""))</f>
        <v/>
      </c>
    </row>
    <row r="139">
      <c r="A139" s="24">
        <f>IF(M76="","",M76)</f>
        <v/>
      </c>
      <c r="B139" s="25">
        <f>IF(M76="","",IFERROR(IFERROR(INDEX(Data_Talents!$E:$E,MATCH(M76,Data_Talents!$A:$A,0))&amp;"",INDEX(Data_Talents!$E:$E,MATCH(TRIM(IFERROR(LEFT(M76,FIND("(",M76)-1),M76)),Data_Talents!$B:$B,0))&amp;""),""))</f>
        <v/>
      </c>
      <c r="C139" s="5" t="n"/>
      <c r="D139" s="5" t="n"/>
      <c r="E139" s="5" t="n"/>
      <c r="F139" s="5" t="n"/>
      <c r="G139" s="5" t="n"/>
      <c r="H139" s="5" t="n"/>
      <c r="I139" s="5" t="n"/>
      <c r="J139" s="5" t="n"/>
      <c r="K139" s="5" t="n"/>
      <c r="L139" s="5" t="n"/>
      <c r="M139" s="5" t="n"/>
      <c r="N139" s="5" t="n"/>
      <c r="O139" s="5" t="n"/>
      <c r="P139" s="5" t="n"/>
      <c r="Q139" s="5" t="n"/>
      <c r="R139" s="5" t="n"/>
      <c r="S139" s="15">
        <f>IF(M76="","",IFERROR(IFERROR(INDEX(Data_Talents!$F:$F,MATCH(M76,Data_Talents!$A:$A,0))&amp;"",INDEX(Data_Talents!$F:$F,MATCH(TRIM(IFERROR(LEFT(M76,FIND("(",M76)-1),M76)),Data_Talents!$B:$B,0))&amp;""),""))</f>
        <v/>
      </c>
    </row>
    <row r="140">
      <c r="A140" s="24">
        <f>IF(M77="","",M77)</f>
        <v/>
      </c>
      <c r="B140" s="25">
        <f>IF(M77="","",IFERROR(IFERROR(INDEX(Data_Talents!$E:$E,MATCH(M77,Data_Talents!$A:$A,0))&amp;"",INDEX(Data_Talents!$E:$E,MATCH(TRIM(IFERROR(LEFT(M77,FIND("(",M77)-1),M77)),Data_Talents!$B:$B,0))&amp;""),""))</f>
        <v/>
      </c>
      <c r="C140" s="5" t="n"/>
      <c r="D140" s="5" t="n"/>
      <c r="E140" s="5" t="n"/>
      <c r="F140" s="5" t="n"/>
      <c r="G140" s="5" t="n"/>
      <c r="H140" s="5" t="n"/>
      <c r="I140" s="5" t="n"/>
      <c r="J140" s="5" t="n"/>
      <c r="K140" s="5" t="n"/>
      <c r="L140" s="5" t="n"/>
      <c r="M140" s="5" t="n"/>
      <c r="N140" s="5" t="n"/>
      <c r="O140" s="5" t="n"/>
      <c r="P140" s="5" t="n"/>
      <c r="Q140" s="5" t="n"/>
      <c r="R140" s="5" t="n"/>
      <c r="S140" s="15">
        <f>IF(M77="","",IFERROR(IFERROR(INDEX(Data_Talents!$F:$F,MATCH(M77,Data_Talents!$A:$A,0))&amp;"",INDEX(Data_Talents!$F:$F,MATCH(TRIM(IFERROR(LEFT(M77,FIND("(",M77)-1),M77)),Data_Talents!$B:$B,0))&amp;""),""))</f>
        <v/>
      </c>
    </row>
  </sheetData>
  <mergeCells count="183">
    <mergeCell ref="Q14:S14"/>
    <mergeCell ref="B135:R135"/>
    <mergeCell ref="O3:S3"/>
    <mergeCell ref="M40:O40"/>
    <mergeCell ref="B125:R125"/>
    <mergeCell ref="B134:R134"/>
    <mergeCell ref="B121:R121"/>
    <mergeCell ref="Q15:S15"/>
    <mergeCell ref="B86:C86"/>
    <mergeCell ref="B96:R96"/>
    <mergeCell ref="B105:R105"/>
    <mergeCell ref="M10:N10"/>
    <mergeCell ref="M41:O41"/>
    <mergeCell ref="B111:R111"/>
    <mergeCell ref="A53:I53"/>
    <mergeCell ref="B120:R120"/>
    <mergeCell ref="B98:R98"/>
    <mergeCell ref="J81:S81"/>
    <mergeCell ref="B107:R107"/>
    <mergeCell ref="M76:O76"/>
    <mergeCell ref="M16:N16"/>
    <mergeCell ref="M66:O66"/>
    <mergeCell ref="A1:S1"/>
    <mergeCell ref="F23:G23"/>
    <mergeCell ref="M53:O53"/>
    <mergeCell ref="M18:N18"/>
    <mergeCell ref="B99:R99"/>
    <mergeCell ref="M68:O68"/>
    <mergeCell ref="M17:N17"/>
    <mergeCell ref="M55:O55"/>
    <mergeCell ref="E85:F85"/>
    <mergeCell ref="M52:O52"/>
    <mergeCell ref="M67:O67"/>
    <mergeCell ref="M39:O39"/>
    <mergeCell ref="B124:R124"/>
    <mergeCell ref="A9:K9"/>
    <mergeCell ref="M69:O69"/>
    <mergeCell ref="B126:R126"/>
    <mergeCell ref="B100:R100"/>
    <mergeCell ref="B109:R109"/>
    <mergeCell ref="M31:O31"/>
    <mergeCell ref="F6:G6"/>
    <mergeCell ref="M75:O75"/>
    <mergeCell ref="B102:R102"/>
    <mergeCell ref="M28:O28"/>
    <mergeCell ref="M37:O37"/>
    <mergeCell ref="F5:G5"/>
    <mergeCell ref="O5:S5"/>
    <mergeCell ref="B3:E3"/>
    <mergeCell ref="M26:O26"/>
    <mergeCell ref="M57:O57"/>
    <mergeCell ref="M22:Q22"/>
    <mergeCell ref="B136:R136"/>
    <mergeCell ref="O4:S4"/>
    <mergeCell ref="M13:N13"/>
    <mergeCell ref="M72:O72"/>
    <mergeCell ref="M29:O29"/>
    <mergeCell ref="M7:N7"/>
    <mergeCell ref="M9:S9"/>
    <mergeCell ref="M38:O38"/>
    <mergeCell ref="J84:S84"/>
    <mergeCell ref="M56:O56"/>
    <mergeCell ref="M71:O71"/>
    <mergeCell ref="Q13:S13"/>
    <mergeCell ref="B84:C84"/>
    <mergeCell ref="M43:O43"/>
    <mergeCell ref="M58:O58"/>
    <mergeCell ref="Q16:S16"/>
    <mergeCell ref="B128:R128"/>
    <mergeCell ref="B137:R137"/>
    <mergeCell ref="J80:S80"/>
    <mergeCell ref="B80:C80"/>
    <mergeCell ref="Q18:S18"/>
    <mergeCell ref="B139:R139"/>
    <mergeCell ref="M70:O70"/>
    <mergeCell ref="M35:O35"/>
    <mergeCell ref="B114:R114"/>
    <mergeCell ref="A2:S2"/>
    <mergeCell ref="O7:S7"/>
    <mergeCell ref="B123:R123"/>
    <mergeCell ref="F4:G4"/>
    <mergeCell ref="B110:R110"/>
    <mergeCell ref="H3:K3"/>
    <mergeCell ref="Q10:S10"/>
    <mergeCell ref="B81:C81"/>
    <mergeCell ref="B6:E6"/>
    <mergeCell ref="B91:R91"/>
    <mergeCell ref="B113:R113"/>
    <mergeCell ref="B138:R138"/>
    <mergeCell ref="M5:N5"/>
    <mergeCell ref="E83:F83"/>
    <mergeCell ref="M30:O30"/>
    <mergeCell ref="H5:K5"/>
    <mergeCell ref="B115:R115"/>
    <mergeCell ref="B140:R140"/>
    <mergeCell ref="B93:R93"/>
    <mergeCell ref="M77:O77"/>
    <mergeCell ref="M46:O46"/>
    <mergeCell ref="M33:O33"/>
    <mergeCell ref="M11:N11"/>
    <mergeCell ref="M42:O42"/>
    <mergeCell ref="B130:R130"/>
    <mergeCell ref="B117:R117"/>
    <mergeCell ref="M61:O61"/>
    <mergeCell ref="C22:D22"/>
    <mergeCell ref="J82:S82"/>
    <mergeCell ref="E84:F84"/>
    <mergeCell ref="Q17:S17"/>
    <mergeCell ref="M62:O62"/>
    <mergeCell ref="B82:C82"/>
    <mergeCell ref="B101:R101"/>
    <mergeCell ref="B132:R132"/>
    <mergeCell ref="M15:N15"/>
    <mergeCell ref="M32:O32"/>
    <mergeCell ref="B119:R119"/>
    <mergeCell ref="M12:N12"/>
    <mergeCell ref="E86:F86"/>
    <mergeCell ref="B116:R116"/>
    <mergeCell ref="E80:F80"/>
    <mergeCell ref="A88:S88"/>
    <mergeCell ref="B103:R103"/>
    <mergeCell ref="F22:G22"/>
    <mergeCell ref="I23:J23"/>
    <mergeCell ref="B112:R112"/>
    <mergeCell ref="B94:R94"/>
    <mergeCell ref="C23:D23"/>
    <mergeCell ref="Q12:S12"/>
    <mergeCell ref="B83:C83"/>
    <mergeCell ref="B118:R118"/>
    <mergeCell ref="M44:O44"/>
    <mergeCell ref="M59:O59"/>
    <mergeCell ref="B127:R127"/>
    <mergeCell ref="M23:N23"/>
    <mergeCell ref="E81:F81"/>
    <mergeCell ref="B85:C85"/>
    <mergeCell ref="B95:R95"/>
    <mergeCell ref="J86:S86"/>
    <mergeCell ref="B89:R89"/>
    <mergeCell ref="B104:R104"/>
    <mergeCell ref="M73:O73"/>
    <mergeCell ref="M51:O51"/>
    <mergeCell ref="M60:O60"/>
    <mergeCell ref="A25:I25"/>
    <mergeCell ref="M54:O54"/>
    <mergeCell ref="B97:R97"/>
    <mergeCell ref="B106:R106"/>
    <mergeCell ref="B129:R129"/>
    <mergeCell ref="O6:S6"/>
    <mergeCell ref="M65:O65"/>
    <mergeCell ref="B5:E5"/>
    <mergeCell ref="B90:R90"/>
    <mergeCell ref="M74:O74"/>
    <mergeCell ref="B122:R122"/>
    <mergeCell ref="E82:F82"/>
    <mergeCell ref="F3:G3"/>
    <mergeCell ref="B131:R131"/>
    <mergeCell ref="M27:O27"/>
    <mergeCell ref="B4:E4"/>
    <mergeCell ref="M36:O36"/>
    <mergeCell ref="M45:O45"/>
    <mergeCell ref="B7:K7"/>
    <mergeCell ref="H4:K4"/>
    <mergeCell ref="Q11:S11"/>
    <mergeCell ref="M47:O47"/>
    <mergeCell ref="M63:O63"/>
    <mergeCell ref="M6:N6"/>
    <mergeCell ref="M50:O50"/>
    <mergeCell ref="H6:K6"/>
    <mergeCell ref="A79:S79"/>
    <mergeCell ref="M3:N3"/>
    <mergeCell ref="M34:O34"/>
    <mergeCell ref="B108:R108"/>
    <mergeCell ref="M49:O49"/>
    <mergeCell ref="B92:R92"/>
    <mergeCell ref="J83:S83"/>
    <mergeCell ref="M14:N14"/>
    <mergeCell ref="M48:O48"/>
    <mergeCell ref="M25:S25"/>
    <mergeCell ref="B133:R133"/>
    <mergeCell ref="A21:S21"/>
    <mergeCell ref="M64:O64"/>
    <mergeCell ref="M4:N4"/>
    <mergeCell ref="J85:S85"/>
  </mergeCells>
  <conditionalFormatting sqref="A27:I77">
    <cfRule type="expression" priority="1" dxfId="0">
      <formula>$I27="★"</formula>
    </cfRule>
  </conditionalFormatting>
  <dataValidations count="13">
    <dataValidation sqref="H3" showDropDown="0" showInputMessage="0" showErrorMessage="0" allowBlank="1" type="list">
      <formula1>=Data_Lists!$A$2:$A$6</formula1>
    </dataValidation>
    <dataValidation sqref="O3" showDropDown="0" showInputMessage="0" showErrorMessage="0" allowBlank="1" type="list">
      <formula1>=Data_Lists!$J$2:$J$65</formula1>
    </dataValidation>
    <dataValidation sqref="B4" showDropDown="0" showInputMessage="0" showErrorMessage="1" allowBlank="1" errorTitle="Invalid value" error="Please pick a value from the list." type="list">
      <formula1>"1,2,3,4"</formula1>
    </dataValidation>
    <dataValidation sqref="B12:K12 B13:K13" showDropDown="0" showInputMessage="0" showErrorMessage="1" allowBlank="1" errorTitle="Invalid value" error="Please pick a value from the list." type="list">
      <formula1>"0,5,10,15,20,25,30,35,40,45,50,55,60,65,70,75"</formula1>
    </dataValidation>
    <dataValidation sqref="A27:A52 A54:A77" showDropDown="0" showInputMessage="0" showErrorMessage="0" allowBlank="1" type="list">
      <formula1>=Data_Skills!$A$2:$A$202</formula1>
    </dataValidation>
    <dataValidation sqref="D27:D52 D54:D77" showDropDown="0" showInputMessage="0" showErrorMessage="1" allowBlank="1" errorTitle="Invalid value" error="Please pick a value from the list." type="list">
      <formula1>"0,5,10,15,20,25,30"</formula1>
    </dataValidation>
    <dataValidation sqref="E27:F52 E54:F77" showDropDown="0" showInputMessage="0" showErrorMessage="1" allowBlank="1" errorTitle="Invalid value" error="Please pick a value from the list." type="list">
      <formula1>"0,5,10,15,20,25,30,35,40,45,50,55,60,65,70,75"</formula1>
    </dataValidation>
    <dataValidation sqref="M27:M77" showDropDown="0" showInputMessage="0" showErrorMessage="0" allowBlank="1" type="list">
      <formula1>=Data_Talents!$A$2:$A$230</formula1>
    </dataValidation>
    <dataValidation sqref="Q27:Q77" showDropDown="0" showInputMessage="0" showErrorMessage="1" allowBlank="1" errorTitle="Invalid value" error="Please pick a value from the list." type="list">
      <formula1>=Data_Lists!$O$2:$O$3</formula1>
    </dataValidation>
    <dataValidation sqref="P27:P77" showDropDown="0" showInputMessage="0" showErrorMessage="0" allowBlank="1" type="list">
      <formula1>"1,2,3,4,5"</formula1>
    </dataValidation>
    <dataValidation sqref="A81:A86" showDropDown="0" showInputMessage="0" showErrorMessage="0" allowBlank="1" type="list">
      <formula1>=Data_Lists!$J$2:$J$65</formula1>
    </dataValidation>
    <dataValidation sqref="D81:D86" showDropDown="0" showInputMessage="0" showErrorMessage="1" allowBlank="1" errorTitle="Invalid value" error="Please pick a value from the list." type="list">
      <formula1>"1,2,3,4"</formula1>
    </dataValidation>
    <dataValidation sqref="E81:E86" showDropDown="0" showInputMessage="0" showErrorMessage="1" allowBlank="1" errorTitle="Invalid value" error="Please pick a value from the list." type="list">
      <formula1>=Data_Lists!$V$2:$V$4</formula1>
    </dataValidation>
  </dataValidations>
  <pageMargins left="0.75" right="0.75" top="1" bottom="1" header="0.5" footer="0.5"/>
  <pageSetup orientation="portrait" fitToHeight="0" fitToWidth="1"/>
</worksheet>
</file>

<file path=xl/worksheets/sheet2.xml><?xml version="1.0" encoding="utf-8"?>
<worksheet xmlns="http://schemas.openxmlformats.org/spreadsheetml/2006/main">
  <sheetPr>
    <tabColor rgb="005B7A3B"/>
    <outlinePr summaryBelow="1" summaryRight="1"/>
    <pageSetUpPr/>
  </sheetPr>
  <dimension ref="A1:F33"/>
  <sheetViews>
    <sheetView workbookViewId="0">
      <selection activeCell="A1" sqref="A1"/>
    </sheetView>
  </sheetViews>
  <sheetFormatPr baseColWidth="8" defaultRowHeight="15"/>
  <cols>
    <col width="8" customWidth="1" min="1" max="1"/>
    <col width="22" customWidth="1" min="2" max="2"/>
    <col width="13" customWidth="1" min="3" max="3"/>
    <col width="46" customWidth="1" min="4" max="4"/>
    <col width="36" customWidth="1" min="5" max="5"/>
    <col width="36" customWidth="1" min="6" max="6"/>
  </cols>
  <sheetData>
    <row r="1">
      <c r="A1" s="1" t="inlineStr">
        <is>
          <t>CAREER</t>
        </is>
      </c>
    </row>
    <row r="2"/>
    <row r="3">
      <c r="A3" s="26" t="inlineStr">
        <is>
          <t>Career</t>
        </is>
      </c>
      <c r="B3" s="27">
        <f>IF(Character!$O$3="","(choose a career on the Character tab)",Character!$O$3)</f>
        <v/>
      </c>
      <c r="C3" s="5" t="n"/>
      <c r="D3" s="13">
        <f>N(Character!$B$4)</f>
        <v/>
      </c>
      <c r="E3" s="2" t="inlineStr">
        <is>
          <t>← current level (from Character tab)</t>
        </is>
      </c>
    </row>
    <row r="4">
      <c r="A4" s="26" t="inlineStr">
        <is>
          <t>Class</t>
        </is>
      </c>
      <c r="B4" s="28">
        <f>IF(Character!$O$3="","",IFERROR(INDEX(Data_Careers!$D:$D,MATCH(Character!$O$3&amp;"|1",Data_Careers!$A:$A,0))&amp;"",""))</f>
        <v/>
      </c>
      <c r="C4" s="5" t="n"/>
    </row>
    <row r="5">
      <c r="A5" s="26" t="inlineStr">
        <is>
          <t>Summary</t>
        </is>
      </c>
      <c r="B5" s="25">
        <f>IF(Character!$O$3="","",IFERROR(INDEX(Data_Careers!$L:$L,MATCH(Character!$O$3&amp;"|1",Data_Careers!$A:$A,0))&amp;"",""))</f>
        <v/>
      </c>
      <c r="C5" s="5" t="n"/>
      <c r="D5" s="5" t="n"/>
      <c r="E5" s="5" t="n"/>
      <c r="F5" s="5" t="n"/>
    </row>
    <row r="6">
      <c r="A6" s="26" t="inlineStr">
        <is>
          <t>Income</t>
        </is>
      </c>
      <c r="B6" s="28">
        <f>IF(Character!$O$3="","",IFERROR(INDEX(Data_Careers!$M:$M,MATCH(Character!$O$3&amp;"|1",Data_Careers!$A:$A,0))&amp;"",""))</f>
        <v/>
      </c>
      <c r="C6" s="5" t="n"/>
      <c r="D6" s="26" t="inlineStr">
        <is>
          <t>Species:</t>
        </is>
      </c>
      <c r="E6" s="28">
        <f>IF(Character!$O$3="","",IFERROR(INDEX(Data_Careers!$N:$N,MATCH(Character!$O$3&amp;"|1",Data_Careers!$A:$A,0))&amp;"",""))</f>
        <v/>
      </c>
      <c r="F6" s="5" t="n"/>
    </row>
    <row r="7">
      <c r="A7" s="26" t="inlineStr">
        <is>
          <t>Page</t>
        </is>
      </c>
      <c r="B7" s="28">
        <f>IF(Character!$O$3="","",IFERROR(INDEX(Data_Careers!$O:$O,MATCH(Character!$O$3&amp;"|1",Data_Careers!$A:$A,0))&amp;"",""))</f>
        <v/>
      </c>
      <c r="C7" s="5" t="n"/>
    </row>
    <row r="8"/>
    <row r="9">
      <c r="A9" s="7" t="inlineStr">
        <is>
          <t>CAREER LEVELS</t>
        </is>
      </c>
    </row>
    <row r="10">
      <c r="A10" s="9" t="inlineStr">
        <is>
          <t>Level</t>
        </is>
      </c>
      <c r="B10" s="9" t="inlineStr">
        <is>
          <t>Title</t>
        </is>
      </c>
      <c r="C10" s="9" t="inlineStr">
        <is>
          <t>Status</t>
        </is>
      </c>
      <c r="D10" s="9" t="inlineStr">
        <is>
          <t>Skills</t>
        </is>
      </c>
      <c r="E10" s="9" t="inlineStr">
        <is>
          <t>Talents</t>
        </is>
      </c>
      <c r="F10" s="9" t="inlineStr">
        <is>
          <t>Trappings</t>
        </is>
      </c>
    </row>
    <row r="11">
      <c r="A11" s="16" t="n">
        <v>1</v>
      </c>
      <c r="B11" s="25">
        <f>IF(Character!$O$3="","",IFERROR(INDEX(Data_Careers!$E:$E,MATCH(Character!$O$3&amp;"|1",Data_Careers!$A:$A,0))&amp;"",""))</f>
        <v/>
      </c>
      <c r="C11" s="25">
        <f>IF(Character!$O$3="","",IFERROR(INDEX(Data_Careers!$F:$F,MATCH(Character!$O$3&amp;"|1",Data_Careers!$A:$A,0))&amp;"",""))</f>
        <v/>
      </c>
      <c r="D11" s="25">
        <f>IF(Character!$O$3="","",IFERROR(INDEX(Data_Careers!$G:$G,MATCH(Character!$O$3&amp;"|1",Data_Careers!$A:$A,0))&amp;"",""))</f>
        <v/>
      </c>
      <c r="E11" s="25">
        <f>IF(Character!$O$3="","",IFERROR(INDEX(Data_Careers!$H:$H,MATCH(Character!$O$3&amp;"|1",Data_Careers!$A:$A,0))&amp;"",""))</f>
        <v/>
      </c>
      <c r="F11" s="25">
        <f>IF(Character!$O$3="","",IFERROR(INDEX(Data_Careers!$I:$I,MATCH(Character!$O$3&amp;"|1",Data_Careers!$A:$A,0))&amp;"",""))</f>
        <v/>
      </c>
    </row>
    <row r="12">
      <c r="A12" s="16" t="n">
        <v>2</v>
      </c>
      <c r="B12" s="25">
        <f>IF(Character!$O$3="","",IFERROR(INDEX(Data_Careers!$E:$E,MATCH(Character!$O$3&amp;"|2",Data_Careers!$A:$A,0))&amp;"",""))</f>
        <v/>
      </c>
      <c r="C12" s="25">
        <f>IF(Character!$O$3="","",IFERROR(INDEX(Data_Careers!$F:$F,MATCH(Character!$O$3&amp;"|2",Data_Careers!$A:$A,0))&amp;"",""))</f>
        <v/>
      </c>
      <c r="D12" s="25">
        <f>IF(Character!$O$3="","",IFERROR(INDEX(Data_Careers!$G:$G,MATCH(Character!$O$3&amp;"|2",Data_Careers!$A:$A,0))&amp;"",""))</f>
        <v/>
      </c>
      <c r="E12" s="25">
        <f>IF(Character!$O$3="","",IFERROR(INDEX(Data_Careers!$H:$H,MATCH(Character!$O$3&amp;"|2",Data_Careers!$A:$A,0))&amp;"",""))</f>
        <v/>
      </c>
      <c r="F12" s="25">
        <f>IF(Character!$O$3="","",IFERROR(INDEX(Data_Careers!$I:$I,MATCH(Character!$O$3&amp;"|2",Data_Careers!$A:$A,0))&amp;"",""))</f>
        <v/>
      </c>
    </row>
    <row r="13">
      <c r="A13" s="16" t="n">
        <v>3</v>
      </c>
      <c r="B13" s="25">
        <f>IF(Character!$O$3="","",IFERROR(INDEX(Data_Careers!$E:$E,MATCH(Character!$O$3&amp;"|3",Data_Careers!$A:$A,0))&amp;"",""))</f>
        <v/>
      </c>
      <c r="C13" s="25">
        <f>IF(Character!$O$3="","",IFERROR(INDEX(Data_Careers!$F:$F,MATCH(Character!$O$3&amp;"|3",Data_Careers!$A:$A,0))&amp;"",""))</f>
        <v/>
      </c>
      <c r="D13" s="25">
        <f>IF(Character!$O$3="","",IFERROR(INDEX(Data_Careers!$G:$G,MATCH(Character!$O$3&amp;"|3",Data_Careers!$A:$A,0))&amp;"",""))</f>
        <v/>
      </c>
      <c r="E13" s="25">
        <f>IF(Character!$O$3="","",IFERROR(INDEX(Data_Careers!$H:$H,MATCH(Character!$O$3&amp;"|3",Data_Careers!$A:$A,0))&amp;"",""))</f>
        <v/>
      </c>
      <c r="F13" s="25">
        <f>IF(Character!$O$3="","",IFERROR(INDEX(Data_Careers!$I:$I,MATCH(Character!$O$3&amp;"|3",Data_Careers!$A:$A,0))&amp;"",""))</f>
        <v/>
      </c>
    </row>
    <row r="14">
      <c r="A14" s="16" t="n">
        <v>4</v>
      </c>
      <c r="B14" s="25">
        <f>IF(Character!$O$3="","",IFERROR(INDEX(Data_Careers!$E:$E,MATCH(Character!$O$3&amp;"|4",Data_Careers!$A:$A,0))&amp;"",""))</f>
        <v/>
      </c>
      <c r="C14" s="25">
        <f>IF(Character!$O$3="","",IFERROR(INDEX(Data_Careers!$F:$F,MATCH(Character!$O$3&amp;"|4",Data_Careers!$A:$A,0))&amp;"",""))</f>
        <v/>
      </c>
      <c r="D14" s="25">
        <f>IF(Character!$O$3="","",IFERROR(INDEX(Data_Careers!$G:$G,MATCH(Character!$O$3&amp;"|4",Data_Careers!$A:$A,0))&amp;"",""))</f>
        <v/>
      </c>
      <c r="E14" s="25">
        <f>IF(Character!$O$3="","",IFERROR(INDEX(Data_Careers!$H:$H,MATCH(Character!$O$3&amp;"|4",Data_Careers!$A:$A,0))&amp;"",""))</f>
        <v/>
      </c>
      <c r="F14" s="25">
        <f>IF(Character!$O$3="","",IFERROR(INDEX(Data_Careers!$I:$I,MATCH(Character!$O$3&amp;"|4",Data_Careers!$A:$A,0))&amp;"",""))</f>
        <v/>
      </c>
    </row>
    <row r="15"/>
    <row r="16">
      <c r="A16" s="7" t="inlineStr">
        <is>
          <t>STARTING TRAPPINGS</t>
        </is>
      </c>
    </row>
    <row r="17">
      <c r="A17" s="26" t="inlineStr">
        <is>
          <t>All</t>
        </is>
      </c>
      <c r="B17" s="28" t="inlineStr">
        <is>
          <t>Clothing, Dagger, Pouch</t>
        </is>
      </c>
      <c r="C17" s="5" t="n"/>
      <c r="D17" s="5" t="n"/>
      <c r="E17" s="5" t="n"/>
      <c r="F17" s="5" t="n"/>
    </row>
    <row r="18">
      <c r="A18" s="26" t="inlineStr">
        <is>
          <t>Class</t>
        </is>
      </c>
      <c r="B18" s="25">
        <f>IF(B4="","",IFERROR(INDEX(Data_Lists!$M$2:$M$9,MATCH(B4,Data_Lists!$L$2:$L$9,0)),""))</f>
        <v/>
      </c>
      <c r="C18" s="5" t="n"/>
      <c r="D18" s="5" t="n"/>
      <c r="E18" s="5" t="n"/>
      <c r="F18" s="5" t="n"/>
    </row>
    <row r="19">
      <c r="A19" s="26" t="inlineStr">
        <is>
          <t>Career</t>
        </is>
      </c>
      <c r="B19" s="25">
        <f>F11</f>
        <v/>
      </c>
      <c r="C19" s="5" t="n"/>
      <c r="D19" s="5" t="n"/>
      <c r="E19" s="5" t="n"/>
      <c r="F19" s="5" t="n"/>
    </row>
    <row r="20">
      <c r="A20" s="2" t="inlineStr">
        <is>
          <t>Keeping the first career roll grants 2 Trappings from level 2 (1 if you picked from three rolls); each bonus Trapping ticks your Career Advancement tracker.</t>
        </is>
      </c>
    </row>
    <row r="21"/>
    <row r="22">
      <c r="A22" s="7" t="inlineStr">
        <is>
          <t>CHARACTERISTIC ADVANCE SCHEME</t>
        </is>
      </c>
    </row>
    <row r="23">
      <c r="A23" s="9" t="inlineStr">
        <is>
          <t>Char</t>
        </is>
      </c>
      <c r="B23" s="9" t="inlineStr">
        <is>
          <t>Characteristic</t>
        </is>
      </c>
      <c r="C23" s="9" t="inlineStr">
        <is>
          <t>Opens at level</t>
        </is>
      </c>
      <c r="D23" s="9" t="inlineStr">
        <is>
          <t>Advanceable now</t>
        </is>
      </c>
    </row>
    <row r="24">
      <c r="A24" s="29" t="inlineStr">
        <is>
          <t>WS</t>
        </is>
      </c>
      <c r="B24" s="8" t="inlineStr">
        <is>
          <t>Weapon Skill</t>
        </is>
      </c>
      <c r="C24" s="15">
        <f>IF(Character!$O$3="","",IFERROR(IF(INDEX(Data_Careers!$P:$P,MATCH(Character!$O$3&amp;"|1",Data_Careers!$A:$A,0))="","",INDEX(Data_Careers!$P:$P,MATCH(Character!$O$3&amp;"|1",Data_Careers!$A:$A,0))),""))</f>
        <v/>
      </c>
      <c r="D24" s="15">
        <f>IF(C24="","",IF(N(C24)&lt;=$D$3,"★ yes",""))</f>
        <v/>
      </c>
    </row>
    <row r="25">
      <c r="A25" s="29" t="inlineStr">
        <is>
          <t>BS</t>
        </is>
      </c>
      <c r="B25" s="8" t="inlineStr">
        <is>
          <t>Ballistic Skill</t>
        </is>
      </c>
      <c r="C25" s="15">
        <f>IF(Character!$O$3="","",IFERROR(IF(INDEX(Data_Careers!$Q:$Q,MATCH(Character!$O$3&amp;"|1",Data_Careers!$A:$A,0))="","",INDEX(Data_Careers!$Q:$Q,MATCH(Character!$O$3&amp;"|1",Data_Careers!$A:$A,0))),""))</f>
        <v/>
      </c>
      <c r="D25" s="15">
        <f>IF(C25="","",IF(N(C25)&lt;=$D$3,"★ yes",""))</f>
        <v/>
      </c>
    </row>
    <row r="26">
      <c r="A26" s="29" t="inlineStr">
        <is>
          <t>S</t>
        </is>
      </c>
      <c r="B26" s="8" t="inlineStr">
        <is>
          <t>Strength</t>
        </is>
      </c>
      <c r="C26" s="15">
        <f>IF(Character!$O$3="","",IFERROR(IF(INDEX(Data_Careers!$R:$R,MATCH(Character!$O$3&amp;"|1",Data_Careers!$A:$A,0))="","",INDEX(Data_Careers!$R:$R,MATCH(Character!$O$3&amp;"|1",Data_Careers!$A:$A,0))),""))</f>
        <v/>
      </c>
      <c r="D26" s="15">
        <f>IF(C26="","",IF(N(C26)&lt;=$D$3,"★ yes",""))</f>
        <v/>
      </c>
    </row>
    <row r="27">
      <c r="A27" s="29" t="inlineStr">
        <is>
          <t>T</t>
        </is>
      </c>
      <c r="B27" s="8" t="inlineStr">
        <is>
          <t>Toughness</t>
        </is>
      </c>
      <c r="C27" s="15">
        <f>IF(Character!$O$3="","",IFERROR(IF(INDEX(Data_Careers!$S:$S,MATCH(Character!$O$3&amp;"|1",Data_Careers!$A:$A,0))="","",INDEX(Data_Careers!$S:$S,MATCH(Character!$O$3&amp;"|1",Data_Careers!$A:$A,0))),""))</f>
        <v/>
      </c>
      <c r="D27" s="15">
        <f>IF(C27="","",IF(N(C27)&lt;=$D$3,"★ yes",""))</f>
        <v/>
      </c>
    </row>
    <row r="28">
      <c r="A28" s="29" t="inlineStr">
        <is>
          <t>I</t>
        </is>
      </c>
      <c r="B28" s="8" t="inlineStr">
        <is>
          <t>Initiative</t>
        </is>
      </c>
      <c r="C28" s="15">
        <f>IF(Character!$O$3="","",IFERROR(IF(INDEX(Data_Careers!$T:$T,MATCH(Character!$O$3&amp;"|1",Data_Careers!$A:$A,0))="","",INDEX(Data_Careers!$T:$T,MATCH(Character!$O$3&amp;"|1",Data_Careers!$A:$A,0))),""))</f>
        <v/>
      </c>
      <c r="D28" s="15">
        <f>IF(C28="","",IF(N(C28)&lt;=$D$3,"★ yes",""))</f>
        <v/>
      </c>
    </row>
    <row r="29">
      <c r="A29" s="29" t="inlineStr">
        <is>
          <t>Ag</t>
        </is>
      </c>
      <c r="B29" s="8" t="inlineStr">
        <is>
          <t>Agility</t>
        </is>
      </c>
      <c r="C29" s="15">
        <f>IF(Character!$O$3="","",IFERROR(IF(INDEX(Data_Careers!$U:$U,MATCH(Character!$O$3&amp;"|1",Data_Careers!$A:$A,0))="","",INDEX(Data_Careers!$U:$U,MATCH(Character!$O$3&amp;"|1",Data_Careers!$A:$A,0))),""))</f>
        <v/>
      </c>
      <c r="D29" s="15">
        <f>IF(C29="","",IF(N(C29)&lt;=$D$3,"★ yes",""))</f>
        <v/>
      </c>
    </row>
    <row r="30">
      <c r="A30" s="29" t="inlineStr">
        <is>
          <t>Dex</t>
        </is>
      </c>
      <c r="B30" s="8" t="inlineStr">
        <is>
          <t>Dexterity</t>
        </is>
      </c>
      <c r="C30" s="15">
        <f>IF(Character!$O$3="","",IFERROR(IF(INDEX(Data_Careers!$V:$V,MATCH(Character!$O$3&amp;"|1",Data_Careers!$A:$A,0))="","",INDEX(Data_Careers!$V:$V,MATCH(Character!$O$3&amp;"|1",Data_Careers!$A:$A,0))),""))</f>
        <v/>
      </c>
      <c r="D30" s="15">
        <f>IF(C30="","",IF(N(C30)&lt;=$D$3,"★ yes",""))</f>
        <v/>
      </c>
    </row>
    <row r="31">
      <c r="A31" s="29" t="inlineStr">
        <is>
          <t>Int</t>
        </is>
      </c>
      <c r="B31" s="8" t="inlineStr">
        <is>
          <t>Intelligence</t>
        </is>
      </c>
      <c r="C31" s="15">
        <f>IF(Character!$O$3="","",IFERROR(IF(INDEX(Data_Careers!$W:$W,MATCH(Character!$O$3&amp;"|1",Data_Careers!$A:$A,0))="","",INDEX(Data_Careers!$W:$W,MATCH(Character!$O$3&amp;"|1",Data_Careers!$A:$A,0))),""))</f>
        <v/>
      </c>
      <c r="D31" s="15">
        <f>IF(C31="","",IF(N(C31)&lt;=$D$3,"★ yes",""))</f>
        <v/>
      </c>
    </row>
    <row r="32">
      <c r="A32" s="29" t="inlineStr">
        <is>
          <t>WP</t>
        </is>
      </c>
      <c r="B32" s="8" t="inlineStr">
        <is>
          <t>Willpower</t>
        </is>
      </c>
      <c r="C32" s="15">
        <f>IF(Character!$O$3="","",IFERROR(IF(INDEX(Data_Careers!$X:$X,MATCH(Character!$O$3&amp;"|1",Data_Careers!$A:$A,0))="","",INDEX(Data_Careers!$X:$X,MATCH(Character!$O$3&amp;"|1",Data_Careers!$A:$A,0))),""))</f>
        <v/>
      </c>
      <c r="D32" s="15">
        <f>IF(C32="","",IF(N(C32)&lt;=$D$3,"★ yes",""))</f>
        <v/>
      </c>
    </row>
    <row r="33">
      <c r="A33" s="29" t="inlineStr">
        <is>
          <t>Fel</t>
        </is>
      </c>
      <c r="B33" s="8" t="inlineStr">
        <is>
          <t>Fellowship</t>
        </is>
      </c>
      <c r="C33" s="15">
        <f>IF(Character!$O$3="","",IFERROR(IF(INDEX(Data_Careers!$Y:$Y,MATCH(Character!$O$3&amp;"|1",Data_Careers!$A:$A,0))="","",INDEX(Data_Careers!$Y:$Y,MATCH(Character!$O$3&amp;"|1",Data_Careers!$A:$A,0))),""))</f>
        <v/>
      </c>
      <c r="D33" s="15">
        <f>IF(C33="","",IF(N(C33)&lt;=$D$3,"★ yes",""))</f>
        <v/>
      </c>
    </row>
  </sheetData>
  <mergeCells count="14">
    <mergeCell ref="A16:F16"/>
    <mergeCell ref="B6:C6"/>
    <mergeCell ref="E6:F6"/>
    <mergeCell ref="B7:C7"/>
    <mergeCell ref="A22:D22"/>
    <mergeCell ref="B3:C3"/>
    <mergeCell ref="A1:F1"/>
    <mergeCell ref="B18:F18"/>
    <mergeCell ref="A9:F9"/>
    <mergeCell ref="B5:F5"/>
    <mergeCell ref="B19:F19"/>
    <mergeCell ref="A20:F20"/>
    <mergeCell ref="B17:F17"/>
    <mergeCell ref="B4:C4"/>
  </mergeCells>
  <conditionalFormatting sqref="A11:F14">
    <cfRule type="expression" priority="1" dxfId="1">
      <formula>$A11=$D$3</formula>
    </cfRule>
  </conditionalFormatting>
  <pageMargins left="0.75" right="0.75" top="1" bottom="1" header="0.5" footer="0.5"/>
</worksheet>
</file>

<file path=xl/worksheets/sheet3.xml><?xml version="1.0" encoding="utf-8"?>
<worksheet xmlns="http://schemas.openxmlformats.org/spreadsheetml/2006/main">
  <sheetPr>
    <tabColor rgb="008A6D3B"/>
    <outlinePr summaryBelow="1" summaryRight="1"/>
    <pageSetUpPr/>
  </sheetPr>
  <dimension ref="A1:N90"/>
  <sheetViews>
    <sheetView workbookViewId="0">
      <pane ySplit="2" topLeftCell="A3" activePane="bottomLeft" state="frozen"/>
      <selection pane="bottomLeft" activeCell="A1" sqref="A1"/>
    </sheetView>
  </sheetViews>
  <sheetFormatPr baseColWidth="8" defaultRowHeight="15"/>
  <cols>
    <col width="28" customWidth="1" min="1" max="1"/>
    <col width="14" customWidth="1" min="2" max="2"/>
    <col width="20" customWidth="1" min="3" max="3"/>
    <col width="13" customWidth="1" min="4" max="4"/>
    <col width="10" customWidth="1" min="5" max="5"/>
    <col width="9" customWidth="1" min="6" max="6"/>
    <col width="30" customWidth="1" min="7" max="7"/>
    <col width="7" customWidth="1" min="8" max="8"/>
    <col width="13" customWidth="1" min="9" max="9"/>
    <col width="9" customWidth="1" min="10" max="10"/>
    <col width="11" customWidth="1" min="11" max="11"/>
    <col width="24" customWidth="1" min="12" max="12"/>
    <col hidden="1" width="6" customWidth="1" min="13" max="13"/>
    <col hidden="1" width="6" customWidth="1" min="14" max="14"/>
  </cols>
  <sheetData>
    <row r="1">
      <c r="A1" s="1" t="inlineStr">
        <is>
          <t>EQUIPMENT</t>
        </is>
      </c>
    </row>
    <row r="2">
      <c r="A2" s="2" t="inlineStr">
        <is>
          <t>Pick items from the dropdowns; stats fill in automatically. Worn items count 1 Enc less. Items inside a container count towards that container's capacity, not your own (only the container's Enc does).</t>
        </is>
      </c>
    </row>
    <row r="3"/>
    <row r="4">
      <c r="A4" s="7" t="inlineStr">
        <is>
          <t>WEAPONS</t>
        </is>
      </c>
    </row>
    <row r="5">
      <c r="A5" s="9" t="inlineStr">
        <is>
          <t>Weapon</t>
        </is>
      </c>
      <c r="B5" s="9" t="inlineStr">
        <is>
          <t>Group</t>
        </is>
      </c>
      <c r="C5" s="9" t="inlineStr">
        <is>
          <t>Hands</t>
        </is>
      </c>
      <c r="D5" s="9" t="inlineStr">
        <is>
          <t>Reach / Range</t>
        </is>
      </c>
      <c r="E5" s="9" t="inlineStr">
        <is>
          <t>Damage</t>
        </is>
      </c>
      <c r="F5" s="9" t="inlineStr">
        <is>
          <t>Damage total</t>
        </is>
      </c>
      <c r="G5" s="9" t="inlineStr">
        <is>
          <t>Qualities &amp; Flaws</t>
        </is>
      </c>
      <c r="H5" s="9" t="inlineStr">
        <is>
          <t>Enc</t>
        </is>
      </c>
      <c r="I5" s="9" t="inlineStr">
        <is>
          <t>Location</t>
        </is>
      </c>
      <c r="J5" s="9" t="inlineStr">
        <is>
          <t>Skill value</t>
        </is>
      </c>
      <c r="K5" s="9" t="inlineStr">
        <is>
          <t>Price</t>
        </is>
      </c>
      <c r="L5" s="9" t="inlineStr">
        <is>
          <t>Notes</t>
        </is>
      </c>
    </row>
    <row r="6">
      <c r="A6" s="4" t="n"/>
      <c r="B6" s="15">
        <f>IF(A6="","",IFERROR(INDEX(Data_Gear!$C:$C,MATCH(A6,Data_Gear!$A:$A,0))&amp;"",""))</f>
        <v/>
      </c>
      <c r="C6" s="15">
        <f>IF(A6="","",IFERROR(INDEX(Data_Gear!$D:$D,MATCH(A6,Data_Gear!$A:$A,0))&amp;"",""))</f>
        <v/>
      </c>
      <c r="D6" s="15">
        <f>IF(A6="","",IFERROR(INDEX(Data_Gear!$J:$J,MATCH(A6,Data_Gear!$A:$A,0))&amp;"",""))</f>
        <v/>
      </c>
      <c r="E6" s="15">
        <f>IF(A6="","",IFERROR(INDEX(Data_Gear!$K:$K,MATCH(A6,Data_Gear!$A:$A,0))&amp;"",""))</f>
        <v/>
      </c>
      <c r="F6" s="17">
        <f>IF(E6="","",IFERROR(IF(ISNUMBER(SEARCH("SB",E6)),Character!$D$17,0)+VALUE(SUBSTITUTE(SUBSTITUTE(SUBSTITUTE(SUBSTITUTE(SUBSTITUTE(E6,"+SB",""),"SB","")," ",""),"+",""),"–","-")),IF(ISNUMBER(SEARCH("SB",E6)),Character!$D$17,"")))</f>
        <v/>
      </c>
      <c r="G6" s="30">
        <f>IF(A6="","",IFERROR(INDEX(Data_Gear!$L:$L,MATCH(A6,Data_Gear!$A:$A,0))&amp;"",""))</f>
        <v/>
      </c>
      <c r="H6" s="15">
        <f>IF(A6="","",IFERROR(INDEX(Data_Gear!$G:$G,MATCH(A6,Data_Gear!$A:$A,0)),""))</f>
        <v/>
      </c>
      <c r="I6" s="11" t="n"/>
      <c r="J6" s="17">
        <f>IF(A6="","",IFERROR(INDEX(Character!$G$27:$G$77,MATCH(IF(M6="Melee weapon","Melee (","Ranged (")&amp;B6&amp;")",Character!$A$27:$A$77,0)),IF(M6="Melee weapon",Character!$B$16,Character!$C$16)))</f>
        <v/>
      </c>
      <c r="K6" s="15">
        <f>IF(A6="","",IFERROR(INDEX(Data_Gear!$E:$E,MATCH(A6,Data_Gear!$A:$A,0))&amp;"",""))</f>
        <v/>
      </c>
      <c r="L6" s="4" t="n"/>
      <c r="M6">
        <f>IF(A6="","",IFERROR(INDEX(Data_Gear!$B:$B,MATCH(A6,Data_Gear!$A:$A,0))&amp;"",""))</f>
        <v/>
      </c>
      <c r="N6">
        <f>IF(A6="",0,MAX(0,N(H6)-IF(I6="Worn",1,0)))</f>
        <v/>
      </c>
    </row>
    <row r="7">
      <c r="A7" s="4" t="n"/>
      <c r="B7" s="15">
        <f>IF(A7="","",IFERROR(INDEX(Data_Gear!$C:$C,MATCH(A7,Data_Gear!$A:$A,0))&amp;"",""))</f>
        <v/>
      </c>
      <c r="C7" s="15">
        <f>IF(A7="","",IFERROR(INDEX(Data_Gear!$D:$D,MATCH(A7,Data_Gear!$A:$A,0))&amp;"",""))</f>
        <v/>
      </c>
      <c r="D7" s="15">
        <f>IF(A7="","",IFERROR(INDEX(Data_Gear!$J:$J,MATCH(A7,Data_Gear!$A:$A,0))&amp;"",""))</f>
        <v/>
      </c>
      <c r="E7" s="15">
        <f>IF(A7="","",IFERROR(INDEX(Data_Gear!$K:$K,MATCH(A7,Data_Gear!$A:$A,0))&amp;"",""))</f>
        <v/>
      </c>
      <c r="F7" s="17">
        <f>IF(E7="","",IFERROR(IF(ISNUMBER(SEARCH("SB",E7)),Character!$D$17,0)+VALUE(SUBSTITUTE(SUBSTITUTE(SUBSTITUTE(SUBSTITUTE(SUBSTITUTE(E7,"+SB",""),"SB","")," ",""),"+",""),"–","-")),IF(ISNUMBER(SEARCH("SB",E7)),Character!$D$17,"")))</f>
        <v/>
      </c>
      <c r="G7" s="30">
        <f>IF(A7="","",IFERROR(INDEX(Data_Gear!$L:$L,MATCH(A7,Data_Gear!$A:$A,0))&amp;"",""))</f>
        <v/>
      </c>
      <c r="H7" s="15">
        <f>IF(A7="","",IFERROR(INDEX(Data_Gear!$G:$G,MATCH(A7,Data_Gear!$A:$A,0)),""))</f>
        <v/>
      </c>
      <c r="I7" s="11" t="n"/>
      <c r="J7" s="17">
        <f>IF(A7="","",IFERROR(INDEX(Character!$G$27:$G$77,MATCH(IF(M7="Melee weapon","Melee (","Ranged (")&amp;B7&amp;")",Character!$A$27:$A$77,0)),IF(M7="Melee weapon",Character!$B$16,Character!$C$16)))</f>
        <v/>
      </c>
      <c r="K7" s="15">
        <f>IF(A7="","",IFERROR(INDEX(Data_Gear!$E:$E,MATCH(A7,Data_Gear!$A:$A,0))&amp;"",""))</f>
        <v/>
      </c>
      <c r="L7" s="4" t="n"/>
      <c r="M7">
        <f>IF(A7="","",IFERROR(INDEX(Data_Gear!$B:$B,MATCH(A7,Data_Gear!$A:$A,0))&amp;"",""))</f>
        <v/>
      </c>
      <c r="N7">
        <f>IF(A7="",0,MAX(0,N(H7)-IF(I7="Worn",1,0)))</f>
        <v/>
      </c>
    </row>
    <row r="8">
      <c r="A8" s="4" t="n"/>
      <c r="B8" s="15">
        <f>IF(A8="","",IFERROR(INDEX(Data_Gear!$C:$C,MATCH(A8,Data_Gear!$A:$A,0))&amp;"",""))</f>
        <v/>
      </c>
      <c r="C8" s="15">
        <f>IF(A8="","",IFERROR(INDEX(Data_Gear!$D:$D,MATCH(A8,Data_Gear!$A:$A,0))&amp;"",""))</f>
        <v/>
      </c>
      <c r="D8" s="15">
        <f>IF(A8="","",IFERROR(INDEX(Data_Gear!$J:$J,MATCH(A8,Data_Gear!$A:$A,0))&amp;"",""))</f>
        <v/>
      </c>
      <c r="E8" s="15">
        <f>IF(A8="","",IFERROR(INDEX(Data_Gear!$K:$K,MATCH(A8,Data_Gear!$A:$A,0))&amp;"",""))</f>
        <v/>
      </c>
      <c r="F8" s="17">
        <f>IF(E8="","",IFERROR(IF(ISNUMBER(SEARCH("SB",E8)),Character!$D$17,0)+VALUE(SUBSTITUTE(SUBSTITUTE(SUBSTITUTE(SUBSTITUTE(SUBSTITUTE(E8,"+SB",""),"SB","")," ",""),"+",""),"–","-")),IF(ISNUMBER(SEARCH("SB",E8)),Character!$D$17,"")))</f>
        <v/>
      </c>
      <c r="G8" s="30">
        <f>IF(A8="","",IFERROR(INDEX(Data_Gear!$L:$L,MATCH(A8,Data_Gear!$A:$A,0))&amp;"",""))</f>
        <v/>
      </c>
      <c r="H8" s="15">
        <f>IF(A8="","",IFERROR(INDEX(Data_Gear!$G:$G,MATCH(A8,Data_Gear!$A:$A,0)),""))</f>
        <v/>
      </c>
      <c r="I8" s="11" t="n"/>
      <c r="J8" s="17">
        <f>IF(A8="","",IFERROR(INDEX(Character!$G$27:$G$77,MATCH(IF(M8="Melee weapon","Melee (","Ranged (")&amp;B8&amp;")",Character!$A$27:$A$77,0)),IF(M8="Melee weapon",Character!$B$16,Character!$C$16)))</f>
        <v/>
      </c>
      <c r="K8" s="15">
        <f>IF(A8="","",IFERROR(INDEX(Data_Gear!$E:$E,MATCH(A8,Data_Gear!$A:$A,0))&amp;"",""))</f>
        <v/>
      </c>
      <c r="L8" s="4" t="n"/>
      <c r="M8">
        <f>IF(A8="","",IFERROR(INDEX(Data_Gear!$B:$B,MATCH(A8,Data_Gear!$A:$A,0))&amp;"",""))</f>
        <v/>
      </c>
      <c r="N8">
        <f>IF(A8="",0,MAX(0,N(H8)-IF(I8="Worn",1,0)))</f>
        <v/>
      </c>
    </row>
    <row r="9">
      <c r="A9" s="4" t="n"/>
      <c r="B9" s="15">
        <f>IF(A9="","",IFERROR(INDEX(Data_Gear!$C:$C,MATCH(A9,Data_Gear!$A:$A,0))&amp;"",""))</f>
        <v/>
      </c>
      <c r="C9" s="15">
        <f>IF(A9="","",IFERROR(INDEX(Data_Gear!$D:$D,MATCH(A9,Data_Gear!$A:$A,0))&amp;"",""))</f>
        <v/>
      </c>
      <c r="D9" s="15">
        <f>IF(A9="","",IFERROR(INDEX(Data_Gear!$J:$J,MATCH(A9,Data_Gear!$A:$A,0))&amp;"",""))</f>
        <v/>
      </c>
      <c r="E9" s="15">
        <f>IF(A9="","",IFERROR(INDEX(Data_Gear!$K:$K,MATCH(A9,Data_Gear!$A:$A,0))&amp;"",""))</f>
        <v/>
      </c>
      <c r="F9" s="17">
        <f>IF(E9="","",IFERROR(IF(ISNUMBER(SEARCH("SB",E9)),Character!$D$17,0)+VALUE(SUBSTITUTE(SUBSTITUTE(SUBSTITUTE(SUBSTITUTE(SUBSTITUTE(E9,"+SB",""),"SB","")," ",""),"+",""),"–","-")),IF(ISNUMBER(SEARCH("SB",E9)),Character!$D$17,"")))</f>
        <v/>
      </c>
      <c r="G9" s="30">
        <f>IF(A9="","",IFERROR(INDEX(Data_Gear!$L:$L,MATCH(A9,Data_Gear!$A:$A,0))&amp;"",""))</f>
        <v/>
      </c>
      <c r="H9" s="15">
        <f>IF(A9="","",IFERROR(INDEX(Data_Gear!$G:$G,MATCH(A9,Data_Gear!$A:$A,0)),""))</f>
        <v/>
      </c>
      <c r="I9" s="11" t="n"/>
      <c r="J9" s="17">
        <f>IF(A9="","",IFERROR(INDEX(Character!$G$27:$G$77,MATCH(IF(M9="Melee weapon","Melee (","Ranged (")&amp;B9&amp;")",Character!$A$27:$A$77,0)),IF(M9="Melee weapon",Character!$B$16,Character!$C$16)))</f>
        <v/>
      </c>
      <c r="K9" s="15">
        <f>IF(A9="","",IFERROR(INDEX(Data_Gear!$E:$E,MATCH(A9,Data_Gear!$A:$A,0))&amp;"",""))</f>
        <v/>
      </c>
      <c r="L9" s="4" t="n"/>
      <c r="M9">
        <f>IF(A9="","",IFERROR(INDEX(Data_Gear!$B:$B,MATCH(A9,Data_Gear!$A:$A,0))&amp;"",""))</f>
        <v/>
      </c>
      <c r="N9">
        <f>IF(A9="",0,MAX(0,N(H9)-IF(I9="Worn",1,0)))</f>
        <v/>
      </c>
    </row>
    <row r="10">
      <c r="A10" s="4" t="n"/>
      <c r="B10" s="15">
        <f>IF(A10="","",IFERROR(INDEX(Data_Gear!$C:$C,MATCH(A10,Data_Gear!$A:$A,0))&amp;"",""))</f>
        <v/>
      </c>
      <c r="C10" s="15">
        <f>IF(A10="","",IFERROR(INDEX(Data_Gear!$D:$D,MATCH(A10,Data_Gear!$A:$A,0))&amp;"",""))</f>
        <v/>
      </c>
      <c r="D10" s="15">
        <f>IF(A10="","",IFERROR(INDEX(Data_Gear!$J:$J,MATCH(A10,Data_Gear!$A:$A,0))&amp;"",""))</f>
        <v/>
      </c>
      <c r="E10" s="15">
        <f>IF(A10="","",IFERROR(INDEX(Data_Gear!$K:$K,MATCH(A10,Data_Gear!$A:$A,0))&amp;"",""))</f>
        <v/>
      </c>
      <c r="F10" s="17">
        <f>IF(E10="","",IFERROR(IF(ISNUMBER(SEARCH("SB",E10)),Character!$D$17,0)+VALUE(SUBSTITUTE(SUBSTITUTE(SUBSTITUTE(SUBSTITUTE(SUBSTITUTE(E10,"+SB",""),"SB","")," ",""),"+",""),"–","-")),IF(ISNUMBER(SEARCH("SB",E10)),Character!$D$17,"")))</f>
        <v/>
      </c>
      <c r="G10" s="30">
        <f>IF(A10="","",IFERROR(INDEX(Data_Gear!$L:$L,MATCH(A10,Data_Gear!$A:$A,0))&amp;"",""))</f>
        <v/>
      </c>
      <c r="H10" s="15">
        <f>IF(A10="","",IFERROR(INDEX(Data_Gear!$G:$G,MATCH(A10,Data_Gear!$A:$A,0)),""))</f>
        <v/>
      </c>
      <c r="I10" s="11" t="n"/>
      <c r="J10" s="17">
        <f>IF(A10="","",IFERROR(INDEX(Character!$G$27:$G$77,MATCH(IF(M10="Melee weapon","Melee (","Ranged (")&amp;B10&amp;")",Character!$A$27:$A$77,0)),IF(M10="Melee weapon",Character!$B$16,Character!$C$16)))</f>
        <v/>
      </c>
      <c r="K10" s="15">
        <f>IF(A10="","",IFERROR(INDEX(Data_Gear!$E:$E,MATCH(A10,Data_Gear!$A:$A,0))&amp;"",""))</f>
        <v/>
      </c>
      <c r="L10" s="4" t="n"/>
      <c r="M10">
        <f>IF(A10="","",IFERROR(INDEX(Data_Gear!$B:$B,MATCH(A10,Data_Gear!$A:$A,0))&amp;"",""))</f>
        <v/>
      </c>
      <c r="N10">
        <f>IF(A10="",0,MAX(0,N(H10)-IF(I10="Worn",1,0)))</f>
        <v/>
      </c>
    </row>
    <row r="11">
      <c r="A11" s="4" t="n"/>
      <c r="B11" s="15">
        <f>IF(A11="","",IFERROR(INDEX(Data_Gear!$C:$C,MATCH(A11,Data_Gear!$A:$A,0))&amp;"",""))</f>
        <v/>
      </c>
      <c r="C11" s="15">
        <f>IF(A11="","",IFERROR(INDEX(Data_Gear!$D:$D,MATCH(A11,Data_Gear!$A:$A,0))&amp;"",""))</f>
        <v/>
      </c>
      <c r="D11" s="15">
        <f>IF(A11="","",IFERROR(INDEX(Data_Gear!$J:$J,MATCH(A11,Data_Gear!$A:$A,0))&amp;"",""))</f>
        <v/>
      </c>
      <c r="E11" s="15">
        <f>IF(A11="","",IFERROR(INDEX(Data_Gear!$K:$K,MATCH(A11,Data_Gear!$A:$A,0))&amp;"",""))</f>
        <v/>
      </c>
      <c r="F11" s="17">
        <f>IF(E11="","",IFERROR(IF(ISNUMBER(SEARCH("SB",E11)),Character!$D$17,0)+VALUE(SUBSTITUTE(SUBSTITUTE(SUBSTITUTE(SUBSTITUTE(SUBSTITUTE(E11,"+SB",""),"SB","")," ",""),"+",""),"–","-")),IF(ISNUMBER(SEARCH("SB",E11)),Character!$D$17,"")))</f>
        <v/>
      </c>
      <c r="G11" s="30">
        <f>IF(A11="","",IFERROR(INDEX(Data_Gear!$L:$L,MATCH(A11,Data_Gear!$A:$A,0))&amp;"",""))</f>
        <v/>
      </c>
      <c r="H11" s="15">
        <f>IF(A11="","",IFERROR(INDEX(Data_Gear!$G:$G,MATCH(A11,Data_Gear!$A:$A,0)),""))</f>
        <v/>
      </c>
      <c r="I11" s="11" t="n"/>
      <c r="J11" s="17">
        <f>IF(A11="","",IFERROR(INDEX(Character!$G$27:$G$77,MATCH(IF(M11="Melee weapon","Melee (","Ranged (")&amp;B11&amp;")",Character!$A$27:$A$77,0)),IF(M11="Melee weapon",Character!$B$16,Character!$C$16)))</f>
        <v/>
      </c>
      <c r="K11" s="15">
        <f>IF(A11="","",IFERROR(INDEX(Data_Gear!$E:$E,MATCH(A11,Data_Gear!$A:$A,0))&amp;"",""))</f>
        <v/>
      </c>
      <c r="L11" s="4" t="n"/>
      <c r="M11">
        <f>IF(A11="","",IFERROR(INDEX(Data_Gear!$B:$B,MATCH(A11,Data_Gear!$A:$A,0))&amp;"",""))</f>
        <v/>
      </c>
      <c r="N11">
        <f>IF(A11="",0,MAX(0,N(H11)-IF(I11="Worn",1,0)))</f>
        <v/>
      </c>
    </row>
    <row r="12">
      <c r="A12" s="4" t="n"/>
      <c r="B12" s="15">
        <f>IF(A12="","",IFERROR(INDEX(Data_Gear!$C:$C,MATCH(A12,Data_Gear!$A:$A,0))&amp;"",""))</f>
        <v/>
      </c>
      <c r="C12" s="15">
        <f>IF(A12="","",IFERROR(INDEX(Data_Gear!$D:$D,MATCH(A12,Data_Gear!$A:$A,0))&amp;"",""))</f>
        <v/>
      </c>
      <c r="D12" s="15">
        <f>IF(A12="","",IFERROR(INDEX(Data_Gear!$J:$J,MATCH(A12,Data_Gear!$A:$A,0))&amp;"",""))</f>
        <v/>
      </c>
      <c r="E12" s="15">
        <f>IF(A12="","",IFERROR(INDEX(Data_Gear!$K:$K,MATCH(A12,Data_Gear!$A:$A,0))&amp;"",""))</f>
        <v/>
      </c>
      <c r="F12" s="17">
        <f>IF(E12="","",IFERROR(IF(ISNUMBER(SEARCH("SB",E12)),Character!$D$17,0)+VALUE(SUBSTITUTE(SUBSTITUTE(SUBSTITUTE(SUBSTITUTE(SUBSTITUTE(E12,"+SB",""),"SB","")," ",""),"+",""),"–","-")),IF(ISNUMBER(SEARCH("SB",E12)),Character!$D$17,"")))</f>
        <v/>
      </c>
      <c r="G12" s="30">
        <f>IF(A12="","",IFERROR(INDEX(Data_Gear!$L:$L,MATCH(A12,Data_Gear!$A:$A,0))&amp;"",""))</f>
        <v/>
      </c>
      <c r="H12" s="15">
        <f>IF(A12="","",IFERROR(INDEX(Data_Gear!$G:$G,MATCH(A12,Data_Gear!$A:$A,0)),""))</f>
        <v/>
      </c>
      <c r="I12" s="11" t="n"/>
      <c r="J12" s="17">
        <f>IF(A12="","",IFERROR(INDEX(Character!$G$27:$G$77,MATCH(IF(M12="Melee weapon","Melee (","Ranged (")&amp;B12&amp;")",Character!$A$27:$A$77,0)),IF(M12="Melee weapon",Character!$B$16,Character!$C$16)))</f>
        <v/>
      </c>
      <c r="K12" s="15">
        <f>IF(A12="","",IFERROR(INDEX(Data_Gear!$E:$E,MATCH(A12,Data_Gear!$A:$A,0))&amp;"",""))</f>
        <v/>
      </c>
      <c r="L12" s="4" t="n"/>
      <c r="M12">
        <f>IF(A12="","",IFERROR(INDEX(Data_Gear!$B:$B,MATCH(A12,Data_Gear!$A:$A,0))&amp;"",""))</f>
        <v/>
      </c>
      <c r="N12">
        <f>IF(A12="",0,MAX(0,N(H12)-IF(I12="Worn",1,0)))</f>
        <v/>
      </c>
    </row>
    <row r="13">
      <c r="A13" s="4" t="n"/>
      <c r="B13" s="15">
        <f>IF(A13="","",IFERROR(INDEX(Data_Gear!$C:$C,MATCH(A13,Data_Gear!$A:$A,0))&amp;"",""))</f>
        <v/>
      </c>
      <c r="C13" s="15">
        <f>IF(A13="","",IFERROR(INDEX(Data_Gear!$D:$D,MATCH(A13,Data_Gear!$A:$A,0))&amp;"",""))</f>
        <v/>
      </c>
      <c r="D13" s="15">
        <f>IF(A13="","",IFERROR(INDEX(Data_Gear!$J:$J,MATCH(A13,Data_Gear!$A:$A,0))&amp;"",""))</f>
        <v/>
      </c>
      <c r="E13" s="15">
        <f>IF(A13="","",IFERROR(INDEX(Data_Gear!$K:$K,MATCH(A13,Data_Gear!$A:$A,0))&amp;"",""))</f>
        <v/>
      </c>
      <c r="F13" s="17">
        <f>IF(E13="","",IFERROR(IF(ISNUMBER(SEARCH("SB",E13)),Character!$D$17,0)+VALUE(SUBSTITUTE(SUBSTITUTE(SUBSTITUTE(SUBSTITUTE(SUBSTITUTE(E13,"+SB",""),"SB","")," ",""),"+",""),"–","-")),IF(ISNUMBER(SEARCH("SB",E13)),Character!$D$17,"")))</f>
        <v/>
      </c>
      <c r="G13" s="30">
        <f>IF(A13="","",IFERROR(INDEX(Data_Gear!$L:$L,MATCH(A13,Data_Gear!$A:$A,0))&amp;"",""))</f>
        <v/>
      </c>
      <c r="H13" s="15">
        <f>IF(A13="","",IFERROR(INDEX(Data_Gear!$G:$G,MATCH(A13,Data_Gear!$A:$A,0)),""))</f>
        <v/>
      </c>
      <c r="I13" s="11" t="n"/>
      <c r="J13" s="17">
        <f>IF(A13="","",IFERROR(INDEX(Character!$G$27:$G$77,MATCH(IF(M13="Melee weapon","Melee (","Ranged (")&amp;B13&amp;")",Character!$A$27:$A$77,0)),IF(M13="Melee weapon",Character!$B$16,Character!$C$16)))</f>
        <v/>
      </c>
      <c r="K13" s="15">
        <f>IF(A13="","",IFERROR(INDEX(Data_Gear!$E:$E,MATCH(A13,Data_Gear!$A:$A,0))&amp;"",""))</f>
        <v/>
      </c>
      <c r="L13" s="4" t="n"/>
      <c r="M13">
        <f>IF(A13="","",IFERROR(INDEX(Data_Gear!$B:$B,MATCH(A13,Data_Gear!$A:$A,0))&amp;"",""))</f>
        <v/>
      </c>
      <c r="N13">
        <f>IF(A13="",0,MAX(0,N(H13)-IF(I13="Worn",1,0)))</f>
        <v/>
      </c>
    </row>
    <row r="14"/>
    <row r="15">
      <c r="A15" s="7" t="inlineStr">
        <is>
          <t>ARMOUR &amp; SHIELDS</t>
        </is>
      </c>
    </row>
    <row r="16">
      <c r="A16" s="9" t="inlineStr">
        <is>
          <t>Armour</t>
        </is>
      </c>
      <c r="B16" s="9" t="inlineStr">
        <is>
          <t>Locations</t>
        </is>
      </c>
      <c r="C16" s="9" t="inlineStr">
        <is>
          <t>AP</t>
        </is>
      </c>
      <c r="D16" s="9" t="inlineStr">
        <is>
          <t>Penalty</t>
        </is>
      </c>
      <c r="E16" s="9" t="inlineStr"/>
      <c r="F16" s="9" t="inlineStr"/>
      <c r="G16" s="9" t="inlineStr">
        <is>
          <t>Qualities &amp; Flaws</t>
        </is>
      </c>
      <c r="H16" s="9" t="inlineStr">
        <is>
          <t>Enc</t>
        </is>
      </c>
      <c r="I16" s="9" t="inlineStr">
        <is>
          <t>Location</t>
        </is>
      </c>
      <c r="J16" s="9" t="inlineStr">
        <is>
          <t>Notes</t>
        </is>
      </c>
      <c r="K16" s="5" t="n"/>
      <c r="L16" s="5" t="n"/>
    </row>
    <row r="17">
      <c r="A17" s="4" t="n"/>
      <c r="B17" s="15">
        <f>IF(A17="","",IFERROR(INDEX(Data_Gear!$M:$M,MATCH(A17,Data_Gear!$A:$A,0))&amp;"",""))</f>
        <v/>
      </c>
      <c r="C17" s="31">
        <f>IF(A17="",0,IFERROR(N(INDEX(Data_Gear!$N:$N,MATCH(A17,Data_Gear!$A:$A,0))),0))</f>
        <v/>
      </c>
      <c r="D17" s="15">
        <f>IF(A17="","",IFERROR(INDEX(Data_Gear!$O:$O,MATCH(A17,Data_Gear!$A:$A,0))&amp;"",""))</f>
        <v/>
      </c>
      <c r="E17" s="8" t="n"/>
      <c r="F17" s="8" t="n"/>
      <c r="G17" s="30">
        <f>IF(A17="","",IFERROR(INDEX(Data_Gear!$L:$L,MATCH(A17,Data_Gear!$A:$A,0))&amp;"",""))</f>
        <v/>
      </c>
      <c r="H17" s="15">
        <f>IF(A17="","",IFERROR(INDEX(Data_Gear!$G:$G,MATCH(A17,Data_Gear!$A:$A,0)),""))</f>
        <v/>
      </c>
      <c r="I17" s="11" t="n"/>
      <c r="J17" s="4" t="n"/>
      <c r="K17" s="5" t="n"/>
      <c r="L17" s="5" t="n"/>
      <c r="N17">
        <f>IF(A17="",0,MAX(0,N(H17)-IF(I17="Worn",1,0)))</f>
        <v/>
      </c>
    </row>
    <row r="18">
      <c r="A18" s="4" t="n"/>
      <c r="B18" s="15">
        <f>IF(A18="","",IFERROR(INDEX(Data_Gear!$M:$M,MATCH(A18,Data_Gear!$A:$A,0))&amp;"",""))</f>
        <v/>
      </c>
      <c r="C18" s="31">
        <f>IF(A18="",0,IFERROR(N(INDEX(Data_Gear!$N:$N,MATCH(A18,Data_Gear!$A:$A,0))),0))</f>
        <v/>
      </c>
      <c r="D18" s="15">
        <f>IF(A18="","",IFERROR(INDEX(Data_Gear!$O:$O,MATCH(A18,Data_Gear!$A:$A,0))&amp;"",""))</f>
        <v/>
      </c>
      <c r="E18" s="8" t="n"/>
      <c r="F18" s="8" t="n"/>
      <c r="G18" s="30">
        <f>IF(A18="","",IFERROR(INDEX(Data_Gear!$L:$L,MATCH(A18,Data_Gear!$A:$A,0))&amp;"",""))</f>
        <v/>
      </c>
      <c r="H18" s="15">
        <f>IF(A18="","",IFERROR(INDEX(Data_Gear!$G:$G,MATCH(A18,Data_Gear!$A:$A,0)),""))</f>
        <v/>
      </c>
      <c r="I18" s="11" t="n"/>
      <c r="J18" s="4" t="n"/>
      <c r="K18" s="5" t="n"/>
      <c r="L18" s="5" t="n"/>
      <c r="N18">
        <f>IF(A18="",0,MAX(0,N(H18)-IF(I18="Worn",1,0)))</f>
        <v/>
      </c>
    </row>
    <row r="19">
      <c r="A19" s="4" t="n"/>
      <c r="B19" s="15">
        <f>IF(A19="","",IFERROR(INDEX(Data_Gear!$M:$M,MATCH(A19,Data_Gear!$A:$A,0))&amp;"",""))</f>
        <v/>
      </c>
      <c r="C19" s="31">
        <f>IF(A19="",0,IFERROR(N(INDEX(Data_Gear!$N:$N,MATCH(A19,Data_Gear!$A:$A,0))),0))</f>
        <v/>
      </c>
      <c r="D19" s="15">
        <f>IF(A19="","",IFERROR(INDEX(Data_Gear!$O:$O,MATCH(A19,Data_Gear!$A:$A,0))&amp;"",""))</f>
        <v/>
      </c>
      <c r="E19" s="8" t="n"/>
      <c r="F19" s="8" t="n"/>
      <c r="G19" s="30">
        <f>IF(A19="","",IFERROR(INDEX(Data_Gear!$L:$L,MATCH(A19,Data_Gear!$A:$A,0))&amp;"",""))</f>
        <v/>
      </c>
      <c r="H19" s="15">
        <f>IF(A19="","",IFERROR(INDEX(Data_Gear!$G:$G,MATCH(A19,Data_Gear!$A:$A,0)),""))</f>
        <v/>
      </c>
      <c r="I19" s="11" t="n"/>
      <c r="J19" s="4" t="n"/>
      <c r="K19" s="5" t="n"/>
      <c r="L19" s="5" t="n"/>
      <c r="N19">
        <f>IF(A19="",0,MAX(0,N(H19)-IF(I19="Worn",1,0)))</f>
        <v/>
      </c>
    </row>
    <row r="20">
      <c r="A20" s="4" t="n"/>
      <c r="B20" s="15">
        <f>IF(A20="","",IFERROR(INDEX(Data_Gear!$M:$M,MATCH(A20,Data_Gear!$A:$A,0))&amp;"",""))</f>
        <v/>
      </c>
      <c r="C20" s="31">
        <f>IF(A20="",0,IFERROR(N(INDEX(Data_Gear!$N:$N,MATCH(A20,Data_Gear!$A:$A,0))),0))</f>
        <v/>
      </c>
      <c r="D20" s="15">
        <f>IF(A20="","",IFERROR(INDEX(Data_Gear!$O:$O,MATCH(A20,Data_Gear!$A:$A,0))&amp;"",""))</f>
        <v/>
      </c>
      <c r="E20" s="8" t="n"/>
      <c r="F20" s="8" t="n"/>
      <c r="G20" s="30">
        <f>IF(A20="","",IFERROR(INDEX(Data_Gear!$L:$L,MATCH(A20,Data_Gear!$A:$A,0))&amp;"",""))</f>
        <v/>
      </c>
      <c r="H20" s="15">
        <f>IF(A20="","",IFERROR(INDEX(Data_Gear!$G:$G,MATCH(A20,Data_Gear!$A:$A,0)),""))</f>
        <v/>
      </c>
      <c r="I20" s="11" t="n"/>
      <c r="J20" s="4" t="n"/>
      <c r="K20" s="5" t="n"/>
      <c r="L20" s="5" t="n"/>
      <c r="N20">
        <f>IF(A20="",0,MAX(0,N(H20)-IF(I20="Worn",1,0)))</f>
        <v/>
      </c>
    </row>
    <row r="21">
      <c r="A21" s="4" t="n"/>
      <c r="B21" s="15">
        <f>IF(A21="","",IFERROR(INDEX(Data_Gear!$M:$M,MATCH(A21,Data_Gear!$A:$A,0))&amp;"",""))</f>
        <v/>
      </c>
      <c r="C21" s="31">
        <f>IF(A21="",0,IFERROR(N(INDEX(Data_Gear!$N:$N,MATCH(A21,Data_Gear!$A:$A,0))),0))</f>
        <v/>
      </c>
      <c r="D21" s="15">
        <f>IF(A21="","",IFERROR(INDEX(Data_Gear!$O:$O,MATCH(A21,Data_Gear!$A:$A,0))&amp;"",""))</f>
        <v/>
      </c>
      <c r="E21" s="8" t="n"/>
      <c r="F21" s="8" t="n"/>
      <c r="G21" s="30">
        <f>IF(A21="","",IFERROR(INDEX(Data_Gear!$L:$L,MATCH(A21,Data_Gear!$A:$A,0))&amp;"",""))</f>
        <v/>
      </c>
      <c r="H21" s="15">
        <f>IF(A21="","",IFERROR(INDEX(Data_Gear!$G:$G,MATCH(A21,Data_Gear!$A:$A,0)),""))</f>
        <v/>
      </c>
      <c r="I21" s="11" t="n"/>
      <c r="J21" s="4" t="n"/>
      <c r="K21" s="5" t="n"/>
      <c r="L21" s="5" t="n"/>
      <c r="N21">
        <f>IF(A21="",0,MAX(0,N(H21)-IF(I21="Worn",1,0)))</f>
        <v/>
      </c>
    </row>
    <row r="22">
      <c r="A22" s="4" t="n"/>
      <c r="B22" s="15">
        <f>IF(A22="","",IFERROR(INDEX(Data_Gear!$M:$M,MATCH(A22,Data_Gear!$A:$A,0))&amp;"",""))</f>
        <v/>
      </c>
      <c r="C22" s="31">
        <f>IF(A22="",0,IFERROR(N(INDEX(Data_Gear!$N:$N,MATCH(A22,Data_Gear!$A:$A,0))),0))</f>
        <v/>
      </c>
      <c r="D22" s="15">
        <f>IF(A22="","",IFERROR(INDEX(Data_Gear!$O:$O,MATCH(A22,Data_Gear!$A:$A,0))&amp;"",""))</f>
        <v/>
      </c>
      <c r="E22" s="8" t="n"/>
      <c r="F22" s="8" t="n"/>
      <c r="G22" s="30">
        <f>IF(A22="","",IFERROR(INDEX(Data_Gear!$L:$L,MATCH(A22,Data_Gear!$A:$A,0))&amp;"",""))</f>
        <v/>
      </c>
      <c r="H22" s="15">
        <f>IF(A22="","",IFERROR(INDEX(Data_Gear!$G:$G,MATCH(A22,Data_Gear!$A:$A,0)),""))</f>
        <v/>
      </c>
      <c r="I22" s="11" t="n"/>
      <c r="J22" s="4" t="n"/>
      <c r="K22" s="5" t="n"/>
      <c r="L22" s="5" t="n"/>
      <c r="N22">
        <f>IF(A22="",0,MAX(0,N(H22)-IF(I22="Worn",1,0)))</f>
        <v/>
      </c>
    </row>
    <row r="23">
      <c r="A23" s="4" t="n"/>
      <c r="B23" s="15">
        <f>IF(A23="","",IFERROR(INDEX(Data_Gear!$M:$M,MATCH(A23,Data_Gear!$A:$A,0))&amp;"",""))</f>
        <v/>
      </c>
      <c r="C23" s="31">
        <f>IF(A23="",0,IFERROR(N(INDEX(Data_Gear!$N:$N,MATCH(A23,Data_Gear!$A:$A,0))),0))</f>
        <v/>
      </c>
      <c r="D23" s="15">
        <f>IF(A23="","",IFERROR(INDEX(Data_Gear!$O:$O,MATCH(A23,Data_Gear!$A:$A,0))&amp;"",""))</f>
        <v/>
      </c>
      <c r="E23" s="8" t="n"/>
      <c r="F23" s="8" t="n"/>
      <c r="G23" s="30">
        <f>IF(A23="","",IFERROR(INDEX(Data_Gear!$L:$L,MATCH(A23,Data_Gear!$A:$A,0))&amp;"",""))</f>
        <v/>
      </c>
      <c r="H23" s="15">
        <f>IF(A23="","",IFERROR(INDEX(Data_Gear!$G:$G,MATCH(A23,Data_Gear!$A:$A,0)),""))</f>
        <v/>
      </c>
      <c r="I23" s="11" t="n"/>
      <c r="J23" s="4" t="n"/>
      <c r="K23" s="5" t="n"/>
      <c r="L23" s="5" t="n"/>
      <c r="N23">
        <f>IF(A23="",0,MAX(0,N(H23)-IF(I23="Worn",1,0)))</f>
        <v/>
      </c>
    </row>
    <row r="24">
      <c r="A24" s="4" t="n"/>
      <c r="B24" s="15">
        <f>IF(A24="","",IFERROR(INDEX(Data_Gear!$M:$M,MATCH(A24,Data_Gear!$A:$A,0))&amp;"",""))</f>
        <v/>
      </c>
      <c r="C24" s="31">
        <f>IF(A24="",0,IFERROR(N(INDEX(Data_Gear!$N:$N,MATCH(A24,Data_Gear!$A:$A,0))),0))</f>
        <v/>
      </c>
      <c r="D24" s="15">
        <f>IF(A24="","",IFERROR(INDEX(Data_Gear!$O:$O,MATCH(A24,Data_Gear!$A:$A,0))&amp;"",""))</f>
        <v/>
      </c>
      <c r="E24" s="8" t="n"/>
      <c r="F24" s="8" t="n"/>
      <c r="G24" s="30">
        <f>IF(A24="","",IFERROR(INDEX(Data_Gear!$L:$L,MATCH(A24,Data_Gear!$A:$A,0))&amp;"",""))</f>
        <v/>
      </c>
      <c r="H24" s="15">
        <f>IF(A24="","",IFERROR(INDEX(Data_Gear!$G:$G,MATCH(A24,Data_Gear!$A:$A,0)),""))</f>
        <v/>
      </c>
      <c r="I24" s="11" t="n"/>
      <c r="J24" s="4" t="n"/>
      <c r="K24" s="5" t="n"/>
      <c r="L24" s="5" t="n"/>
      <c r="N24">
        <f>IF(A24="",0,MAX(0,N(H24)-IF(I24="Worn",1,0)))</f>
        <v/>
      </c>
    </row>
    <row r="25">
      <c r="A25" s="26" t="inlineStr">
        <is>
          <t>Armour Points (worn)</t>
        </is>
      </c>
      <c r="B25" s="9" t="inlineStr">
        <is>
          <t>Head</t>
        </is>
      </c>
      <c r="C25" s="9" t="inlineStr">
        <is>
          <t>Arms</t>
        </is>
      </c>
      <c r="D25" s="9" t="inlineStr">
        <is>
          <t>Body</t>
        </is>
      </c>
      <c r="E25" s="9" t="inlineStr">
        <is>
          <t>Legs</t>
        </is>
      </c>
      <c r="F25" s="9" t="inlineStr">
        <is>
          <t>Shield</t>
        </is>
      </c>
    </row>
    <row r="26">
      <c r="A26" s="8" t="inlineStr">
        <is>
          <t>AP by hit location</t>
        </is>
      </c>
      <c r="B26" s="13">
        <f>SUMPRODUCT(ISNUMBER(SEARCH("Head",$B$17:$B$24))*($I$17:$I$24="Worn")*$C$17:$C$24)</f>
        <v/>
      </c>
      <c r="C26" s="13">
        <f>SUMPRODUCT(ISNUMBER(SEARCH("Arms",$B$17:$B$24))*($I$17:$I$24="Worn")*$C$17:$C$24)</f>
        <v/>
      </c>
      <c r="D26" s="13">
        <f>SUMPRODUCT(ISNUMBER(SEARCH("Body",$B$17:$B$24))*($I$17:$I$24="Worn")*$C$17:$C$24)</f>
        <v/>
      </c>
      <c r="E26" s="13">
        <f>SUMPRODUCT(ISNUMBER(SEARCH("Legs",$B$17:$B$24))*($I$17:$I$24="Worn")*$C$17:$C$24)</f>
        <v/>
      </c>
      <c r="F26" s="13">
        <f>SUMPRODUCT(($B$17:$B$24="Shield")*(($I$17:$I$24="Worn")+($I$17:$I$24="Carried"))*$C$17:$C$24)</f>
        <v/>
      </c>
    </row>
    <row r="27"/>
    <row r="28"/>
    <row r="29">
      <c r="A29" s="7" t="inlineStr">
        <is>
          <t>TRAPPINGS</t>
        </is>
      </c>
    </row>
    <row r="30">
      <c r="A30" s="9" t="inlineStr">
        <is>
          <t>Item</t>
        </is>
      </c>
      <c r="B30" s="9" t="inlineStr">
        <is>
          <t>Qty</t>
        </is>
      </c>
      <c r="C30" s="9" t="inlineStr">
        <is>
          <t>Category</t>
        </is>
      </c>
      <c r="D30" s="9" t="inlineStr">
        <is>
          <t>Enc (each)</t>
        </is>
      </c>
      <c r="E30" s="9" t="inlineStr">
        <is>
          <t>Enc (total)</t>
        </is>
      </c>
      <c r="F30" s="9" t="inlineStr">
        <is>
          <t>Location</t>
        </is>
      </c>
      <c r="G30" s="9" t="inlineStr">
        <is>
          <t>Availability</t>
        </is>
      </c>
      <c r="H30" s="9" t="inlineStr">
        <is>
          <t>Price</t>
        </is>
      </c>
      <c r="I30" s="9" t="inlineStr">
        <is>
          <t>Value (pennies)</t>
        </is>
      </c>
      <c r="J30" s="9" t="inlineStr">
        <is>
          <t>Notes</t>
        </is>
      </c>
      <c r="K30" s="5" t="n"/>
      <c r="L30" s="5" t="n"/>
    </row>
    <row r="31">
      <c r="A31" s="4" t="n"/>
      <c r="B31" s="11" t="n"/>
      <c r="C31" s="15">
        <f>IF(A31="","",IFERROR(INDEX(Data_Gear!$B:$B,MATCH(A31,Data_Gear!$A:$A,0))&amp;"",""))</f>
        <v/>
      </c>
      <c r="D31" s="11">
        <f>IF(A31="","",IFERROR(N(INDEX(Data_Gear!$G:$G,MATCH(A31,Data_Gear!$A:$A,0))),0))</f>
        <v/>
      </c>
      <c r="E31" s="31">
        <f>IF(A31="",0,MAX(0,IF(N(B31)=0,1,N(B31))*N(D31)-IF(F31="Worn",IF(N(B31)=0,1,N(B31)),0)))</f>
        <v/>
      </c>
      <c r="F31" s="11" t="n"/>
      <c r="G31" s="15">
        <f>IF(A31="","",IFERROR(INDEX(Data_Gear!$H:$H,MATCH(A31,Data_Gear!$A:$A,0))&amp;"",""))</f>
        <v/>
      </c>
      <c r="H31" s="15">
        <f>IF(A31="","",IFERROR(INDEX(Data_Gear!$E:$E,MATCH(A31,Data_Gear!$A:$A,0))&amp;"",""))</f>
        <v/>
      </c>
      <c r="I31" s="19">
        <f>IF(A31="","",IFERROR(IF(N(B31)=0,1,N(B31))*INDEX(Data_Gear!$F:$F,MATCH(A31,Data_Gear!$A:$A,0)),""))</f>
        <v/>
      </c>
      <c r="J31" s="4" t="n"/>
      <c r="K31" s="5" t="n"/>
      <c r="L31" s="5" t="n"/>
    </row>
    <row r="32">
      <c r="A32" s="4" t="n"/>
      <c r="B32" s="11" t="n"/>
      <c r="C32" s="15">
        <f>IF(A32="","",IFERROR(INDEX(Data_Gear!$B:$B,MATCH(A32,Data_Gear!$A:$A,0))&amp;"",""))</f>
        <v/>
      </c>
      <c r="D32" s="11">
        <f>IF(A32="","",IFERROR(N(INDEX(Data_Gear!$G:$G,MATCH(A32,Data_Gear!$A:$A,0))),0))</f>
        <v/>
      </c>
      <c r="E32" s="31">
        <f>IF(A32="",0,MAX(0,IF(N(B32)=0,1,N(B32))*N(D32)-IF(F32="Worn",IF(N(B32)=0,1,N(B32)),0)))</f>
        <v/>
      </c>
      <c r="F32" s="11" t="n"/>
      <c r="G32" s="15">
        <f>IF(A32="","",IFERROR(INDEX(Data_Gear!$H:$H,MATCH(A32,Data_Gear!$A:$A,0))&amp;"",""))</f>
        <v/>
      </c>
      <c r="H32" s="15">
        <f>IF(A32="","",IFERROR(INDEX(Data_Gear!$E:$E,MATCH(A32,Data_Gear!$A:$A,0))&amp;"",""))</f>
        <v/>
      </c>
      <c r="I32" s="19">
        <f>IF(A32="","",IFERROR(IF(N(B32)=0,1,N(B32))*INDEX(Data_Gear!$F:$F,MATCH(A32,Data_Gear!$A:$A,0)),""))</f>
        <v/>
      </c>
      <c r="J32" s="4" t="n"/>
      <c r="K32" s="5" t="n"/>
      <c r="L32" s="5" t="n"/>
    </row>
    <row r="33">
      <c r="A33" s="4" t="n"/>
      <c r="B33" s="11" t="n"/>
      <c r="C33" s="15">
        <f>IF(A33="","",IFERROR(INDEX(Data_Gear!$B:$B,MATCH(A33,Data_Gear!$A:$A,0))&amp;"",""))</f>
        <v/>
      </c>
      <c r="D33" s="11">
        <f>IF(A33="","",IFERROR(N(INDEX(Data_Gear!$G:$G,MATCH(A33,Data_Gear!$A:$A,0))),0))</f>
        <v/>
      </c>
      <c r="E33" s="31">
        <f>IF(A33="",0,MAX(0,IF(N(B33)=0,1,N(B33))*N(D33)-IF(F33="Worn",IF(N(B33)=0,1,N(B33)),0)))</f>
        <v/>
      </c>
      <c r="F33" s="11" t="n"/>
      <c r="G33" s="15">
        <f>IF(A33="","",IFERROR(INDEX(Data_Gear!$H:$H,MATCH(A33,Data_Gear!$A:$A,0))&amp;"",""))</f>
        <v/>
      </c>
      <c r="H33" s="15">
        <f>IF(A33="","",IFERROR(INDEX(Data_Gear!$E:$E,MATCH(A33,Data_Gear!$A:$A,0))&amp;"",""))</f>
        <v/>
      </c>
      <c r="I33" s="19">
        <f>IF(A33="","",IFERROR(IF(N(B33)=0,1,N(B33))*INDEX(Data_Gear!$F:$F,MATCH(A33,Data_Gear!$A:$A,0)),""))</f>
        <v/>
      </c>
      <c r="J33" s="4" t="n"/>
      <c r="K33" s="5" t="n"/>
      <c r="L33" s="5" t="n"/>
    </row>
    <row r="34">
      <c r="A34" s="4" t="n"/>
      <c r="B34" s="11" t="n"/>
      <c r="C34" s="15">
        <f>IF(A34="","",IFERROR(INDEX(Data_Gear!$B:$B,MATCH(A34,Data_Gear!$A:$A,0))&amp;"",""))</f>
        <v/>
      </c>
      <c r="D34" s="11">
        <f>IF(A34="","",IFERROR(N(INDEX(Data_Gear!$G:$G,MATCH(A34,Data_Gear!$A:$A,0))),0))</f>
        <v/>
      </c>
      <c r="E34" s="31">
        <f>IF(A34="",0,MAX(0,IF(N(B34)=0,1,N(B34))*N(D34)-IF(F34="Worn",IF(N(B34)=0,1,N(B34)),0)))</f>
        <v/>
      </c>
      <c r="F34" s="11" t="n"/>
      <c r="G34" s="15">
        <f>IF(A34="","",IFERROR(INDEX(Data_Gear!$H:$H,MATCH(A34,Data_Gear!$A:$A,0))&amp;"",""))</f>
        <v/>
      </c>
      <c r="H34" s="15">
        <f>IF(A34="","",IFERROR(INDEX(Data_Gear!$E:$E,MATCH(A34,Data_Gear!$A:$A,0))&amp;"",""))</f>
        <v/>
      </c>
      <c r="I34" s="19">
        <f>IF(A34="","",IFERROR(IF(N(B34)=0,1,N(B34))*INDEX(Data_Gear!$F:$F,MATCH(A34,Data_Gear!$A:$A,0)),""))</f>
        <v/>
      </c>
      <c r="J34" s="4" t="n"/>
      <c r="K34" s="5" t="n"/>
      <c r="L34" s="5" t="n"/>
    </row>
    <row r="35">
      <c r="A35" s="4" t="n"/>
      <c r="B35" s="11" t="n"/>
      <c r="C35" s="15">
        <f>IF(A35="","",IFERROR(INDEX(Data_Gear!$B:$B,MATCH(A35,Data_Gear!$A:$A,0))&amp;"",""))</f>
        <v/>
      </c>
      <c r="D35" s="11">
        <f>IF(A35="","",IFERROR(N(INDEX(Data_Gear!$G:$G,MATCH(A35,Data_Gear!$A:$A,0))),0))</f>
        <v/>
      </c>
      <c r="E35" s="31">
        <f>IF(A35="",0,MAX(0,IF(N(B35)=0,1,N(B35))*N(D35)-IF(F35="Worn",IF(N(B35)=0,1,N(B35)),0)))</f>
        <v/>
      </c>
      <c r="F35" s="11" t="n"/>
      <c r="G35" s="15">
        <f>IF(A35="","",IFERROR(INDEX(Data_Gear!$H:$H,MATCH(A35,Data_Gear!$A:$A,0))&amp;"",""))</f>
        <v/>
      </c>
      <c r="H35" s="15">
        <f>IF(A35="","",IFERROR(INDEX(Data_Gear!$E:$E,MATCH(A35,Data_Gear!$A:$A,0))&amp;"",""))</f>
        <v/>
      </c>
      <c r="I35" s="19">
        <f>IF(A35="","",IFERROR(IF(N(B35)=0,1,N(B35))*INDEX(Data_Gear!$F:$F,MATCH(A35,Data_Gear!$A:$A,0)),""))</f>
        <v/>
      </c>
      <c r="J35" s="4" t="n"/>
      <c r="K35" s="5" t="n"/>
      <c r="L35" s="5" t="n"/>
    </row>
    <row r="36">
      <c r="A36" s="4" t="n"/>
      <c r="B36" s="11" t="n"/>
      <c r="C36" s="15">
        <f>IF(A36="","",IFERROR(INDEX(Data_Gear!$B:$B,MATCH(A36,Data_Gear!$A:$A,0))&amp;"",""))</f>
        <v/>
      </c>
      <c r="D36" s="11">
        <f>IF(A36="","",IFERROR(N(INDEX(Data_Gear!$G:$G,MATCH(A36,Data_Gear!$A:$A,0))),0))</f>
        <v/>
      </c>
      <c r="E36" s="31">
        <f>IF(A36="",0,MAX(0,IF(N(B36)=0,1,N(B36))*N(D36)-IF(F36="Worn",IF(N(B36)=0,1,N(B36)),0)))</f>
        <v/>
      </c>
      <c r="F36" s="11" t="n"/>
      <c r="G36" s="15">
        <f>IF(A36="","",IFERROR(INDEX(Data_Gear!$H:$H,MATCH(A36,Data_Gear!$A:$A,0))&amp;"",""))</f>
        <v/>
      </c>
      <c r="H36" s="15">
        <f>IF(A36="","",IFERROR(INDEX(Data_Gear!$E:$E,MATCH(A36,Data_Gear!$A:$A,0))&amp;"",""))</f>
        <v/>
      </c>
      <c r="I36" s="19">
        <f>IF(A36="","",IFERROR(IF(N(B36)=0,1,N(B36))*INDEX(Data_Gear!$F:$F,MATCH(A36,Data_Gear!$A:$A,0)),""))</f>
        <v/>
      </c>
      <c r="J36" s="4" t="n"/>
      <c r="K36" s="5" t="n"/>
      <c r="L36" s="5" t="n"/>
    </row>
    <row r="37">
      <c r="A37" s="4" t="n"/>
      <c r="B37" s="11" t="n"/>
      <c r="C37" s="15">
        <f>IF(A37="","",IFERROR(INDEX(Data_Gear!$B:$B,MATCH(A37,Data_Gear!$A:$A,0))&amp;"",""))</f>
        <v/>
      </c>
      <c r="D37" s="11">
        <f>IF(A37="","",IFERROR(N(INDEX(Data_Gear!$G:$G,MATCH(A37,Data_Gear!$A:$A,0))),0))</f>
        <v/>
      </c>
      <c r="E37" s="31">
        <f>IF(A37="",0,MAX(0,IF(N(B37)=0,1,N(B37))*N(D37)-IF(F37="Worn",IF(N(B37)=0,1,N(B37)),0)))</f>
        <v/>
      </c>
      <c r="F37" s="11" t="n"/>
      <c r="G37" s="15">
        <f>IF(A37="","",IFERROR(INDEX(Data_Gear!$H:$H,MATCH(A37,Data_Gear!$A:$A,0))&amp;"",""))</f>
        <v/>
      </c>
      <c r="H37" s="15">
        <f>IF(A37="","",IFERROR(INDEX(Data_Gear!$E:$E,MATCH(A37,Data_Gear!$A:$A,0))&amp;"",""))</f>
        <v/>
      </c>
      <c r="I37" s="19">
        <f>IF(A37="","",IFERROR(IF(N(B37)=0,1,N(B37))*INDEX(Data_Gear!$F:$F,MATCH(A37,Data_Gear!$A:$A,0)),""))</f>
        <v/>
      </c>
      <c r="J37" s="4" t="n"/>
      <c r="K37" s="5" t="n"/>
      <c r="L37" s="5" t="n"/>
    </row>
    <row r="38">
      <c r="A38" s="4" t="n"/>
      <c r="B38" s="11" t="n"/>
      <c r="C38" s="15">
        <f>IF(A38="","",IFERROR(INDEX(Data_Gear!$B:$B,MATCH(A38,Data_Gear!$A:$A,0))&amp;"",""))</f>
        <v/>
      </c>
      <c r="D38" s="11">
        <f>IF(A38="","",IFERROR(N(INDEX(Data_Gear!$G:$G,MATCH(A38,Data_Gear!$A:$A,0))),0))</f>
        <v/>
      </c>
      <c r="E38" s="31">
        <f>IF(A38="",0,MAX(0,IF(N(B38)=0,1,N(B38))*N(D38)-IF(F38="Worn",IF(N(B38)=0,1,N(B38)),0)))</f>
        <v/>
      </c>
      <c r="F38" s="11" t="n"/>
      <c r="G38" s="15">
        <f>IF(A38="","",IFERROR(INDEX(Data_Gear!$H:$H,MATCH(A38,Data_Gear!$A:$A,0))&amp;"",""))</f>
        <v/>
      </c>
      <c r="H38" s="15">
        <f>IF(A38="","",IFERROR(INDEX(Data_Gear!$E:$E,MATCH(A38,Data_Gear!$A:$A,0))&amp;"",""))</f>
        <v/>
      </c>
      <c r="I38" s="19">
        <f>IF(A38="","",IFERROR(IF(N(B38)=0,1,N(B38))*INDEX(Data_Gear!$F:$F,MATCH(A38,Data_Gear!$A:$A,0)),""))</f>
        <v/>
      </c>
      <c r="J38" s="4" t="n"/>
      <c r="K38" s="5" t="n"/>
      <c r="L38" s="5" t="n"/>
    </row>
    <row r="39">
      <c r="A39" s="4" t="n"/>
      <c r="B39" s="11" t="n"/>
      <c r="C39" s="15">
        <f>IF(A39="","",IFERROR(INDEX(Data_Gear!$B:$B,MATCH(A39,Data_Gear!$A:$A,0))&amp;"",""))</f>
        <v/>
      </c>
      <c r="D39" s="11">
        <f>IF(A39="","",IFERROR(N(INDEX(Data_Gear!$G:$G,MATCH(A39,Data_Gear!$A:$A,0))),0))</f>
        <v/>
      </c>
      <c r="E39" s="31">
        <f>IF(A39="",0,MAX(0,IF(N(B39)=0,1,N(B39))*N(D39)-IF(F39="Worn",IF(N(B39)=0,1,N(B39)),0)))</f>
        <v/>
      </c>
      <c r="F39" s="11" t="n"/>
      <c r="G39" s="15">
        <f>IF(A39="","",IFERROR(INDEX(Data_Gear!$H:$H,MATCH(A39,Data_Gear!$A:$A,0))&amp;"",""))</f>
        <v/>
      </c>
      <c r="H39" s="15">
        <f>IF(A39="","",IFERROR(INDEX(Data_Gear!$E:$E,MATCH(A39,Data_Gear!$A:$A,0))&amp;"",""))</f>
        <v/>
      </c>
      <c r="I39" s="19">
        <f>IF(A39="","",IFERROR(IF(N(B39)=0,1,N(B39))*INDEX(Data_Gear!$F:$F,MATCH(A39,Data_Gear!$A:$A,0)),""))</f>
        <v/>
      </c>
      <c r="J39" s="4" t="n"/>
      <c r="K39" s="5" t="n"/>
      <c r="L39" s="5" t="n"/>
    </row>
    <row r="40">
      <c r="A40" s="4" t="n"/>
      <c r="B40" s="11" t="n"/>
      <c r="C40" s="15">
        <f>IF(A40="","",IFERROR(INDEX(Data_Gear!$B:$B,MATCH(A40,Data_Gear!$A:$A,0))&amp;"",""))</f>
        <v/>
      </c>
      <c r="D40" s="11">
        <f>IF(A40="","",IFERROR(N(INDEX(Data_Gear!$G:$G,MATCH(A40,Data_Gear!$A:$A,0))),0))</f>
        <v/>
      </c>
      <c r="E40" s="31">
        <f>IF(A40="",0,MAX(0,IF(N(B40)=0,1,N(B40))*N(D40)-IF(F40="Worn",IF(N(B40)=0,1,N(B40)),0)))</f>
        <v/>
      </c>
      <c r="F40" s="11" t="n"/>
      <c r="G40" s="15">
        <f>IF(A40="","",IFERROR(INDEX(Data_Gear!$H:$H,MATCH(A40,Data_Gear!$A:$A,0))&amp;"",""))</f>
        <v/>
      </c>
      <c r="H40" s="15">
        <f>IF(A40="","",IFERROR(INDEX(Data_Gear!$E:$E,MATCH(A40,Data_Gear!$A:$A,0))&amp;"",""))</f>
        <v/>
      </c>
      <c r="I40" s="19">
        <f>IF(A40="","",IFERROR(IF(N(B40)=0,1,N(B40))*INDEX(Data_Gear!$F:$F,MATCH(A40,Data_Gear!$A:$A,0)),""))</f>
        <v/>
      </c>
      <c r="J40" s="4" t="n"/>
      <c r="K40" s="5" t="n"/>
      <c r="L40" s="5" t="n"/>
    </row>
    <row r="41">
      <c r="A41" s="4" t="n"/>
      <c r="B41" s="11" t="n"/>
      <c r="C41" s="15">
        <f>IF(A41="","",IFERROR(INDEX(Data_Gear!$B:$B,MATCH(A41,Data_Gear!$A:$A,0))&amp;"",""))</f>
        <v/>
      </c>
      <c r="D41" s="11">
        <f>IF(A41="","",IFERROR(N(INDEX(Data_Gear!$G:$G,MATCH(A41,Data_Gear!$A:$A,0))),0))</f>
        <v/>
      </c>
      <c r="E41" s="31">
        <f>IF(A41="",0,MAX(0,IF(N(B41)=0,1,N(B41))*N(D41)-IF(F41="Worn",IF(N(B41)=0,1,N(B41)),0)))</f>
        <v/>
      </c>
      <c r="F41" s="11" t="n"/>
      <c r="G41" s="15">
        <f>IF(A41="","",IFERROR(INDEX(Data_Gear!$H:$H,MATCH(A41,Data_Gear!$A:$A,0))&amp;"",""))</f>
        <v/>
      </c>
      <c r="H41" s="15">
        <f>IF(A41="","",IFERROR(INDEX(Data_Gear!$E:$E,MATCH(A41,Data_Gear!$A:$A,0))&amp;"",""))</f>
        <v/>
      </c>
      <c r="I41" s="19">
        <f>IF(A41="","",IFERROR(IF(N(B41)=0,1,N(B41))*INDEX(Data_Gear!$F:$F,MATCH(A41,Data_Gear!$A:$A,0)),""))</f>
        <v/>
      </c>
      <c r="J41" s="4" t="n"/>
      <c r="K41" s="5" t="n"/>
      <c r="L41" s="5" t="n"/>
    </row>
    <row r="42">
      <c r="A42" s="4" t="n"/>
      <c r="B42" s="11" t="n"/>
      <c r="C42" s="15">
        <f>IF(A42="","",IFERROR(INDEX(Data_Gear!$B:$B,MATCH(A42,Data_Gear!$A:$A,0))&amp;"",""))</f>
        <v/>
      </c>
      <c r="D42" s="11">
        <f>IF(A42="","",IFERROR(N(INDEX(Data_Gear!$G:$G,MATCH(A42,Data_Gear!$A:$A,0))),0))</f>
        <v/>
      </c>
      <c r="E42" s="31">
        <f>IF(A42="",0,MAX(0,IF(N(B42)=0,1,N(B42))*N(D42)-IF(F42="Worn",IF(N(B42)=0,1,N(B42)),0)))</f>
        <v/>
      </c>
      <c r="F42" s="11" t="n"/>
      <c r="G42" s="15">
        <f>IF(A42="","",IFERROR(INDEX(Data_Gear!$H:$H,MATCH(A42,Data_Gear!$A:$A,0))&amp;"",""))</f>
        <v/>
      </c>
      <c r="H42" s="15">
        <f>IF(A42="","",IFERROR(INDEX(Data_Gear!$E:$E,MATCH(A42,Data_Gear!$A:$A,0))&amp;"",""))</f>
        <v/>
      </c>
      <c r="I42" s="19">
        <f>IF(A42="","",IFERROR(IF(N(B42)=0,1,N(B42))*INDEX(Data_Gear!$F:$F,MATCH(A42,Data_Gear!$A:$A,0)),""))</f>
        <v/>
      </c>
      <c r="J42" s="4" t="n"/>
      <c r="K42" s="5" t="n"/>
      <c r="L42" s="5" t="n"/>
    </row>
    <row r="43">
      <c r="A43" s="4" t="n"/>
      <c r="B43" s="11" t="n"/>
      <c r="C43" s="15">
        <f>IF(A43="","",IFERROR(INDEX(Data_Gear!$B:$B,MATCH(A43,Data_Gear!$A:$A,0))&amp;"",""))</f>
        <v/>
      </c>
      <c r="D43" s="11">
        <f>IF(A43="","",IFERROR(N(INDEX(Data_Gear!$G:$G,MATCH(A43,Data_Gear!$A:$A,0))),0))</f>
        <v/>
      </c>
      <c r="E43" s="31">
        <f>IF(A43="",0,MAX(0,IF(N(B43)=0,1,N(B43))*N(D43)-IF(F43="Worn",IF(N(B43)=0,1,N(B43)),0)))</f>
        <v/>
      </c>
      <c r="F43" s="11" t="n"/>
      <c r="G43" s="15">
        <f>IF(A43="","",IFERROR(INDEX(Data_Gear!$H:$H,MATCH(A43,Data_Gear!$A:$A,0))&amp;"",""))</f>
        <v/>
      </c>
      <c r="H43" s="15">
        <f>IF(A43="","",IFERROR(INDEX(Data_Gear!$E:$E,MATCH(A43,Data_Gear!$A:$A,0))&amp;"",""))</f>
        <v/>
      </c>
      <c r="I43" s="19">
        <f>IF(A43="","",IFERROR(IF(N(B43)=0,1,N(B43))*INDEX(Data_Gear!$F:$F,MATCH(A43,Data_Gear!$A:$A,0)),""))</f>
        <v/>
      </c>
      <c r="J43" s="4" t="n"/>
      <c r="K43" s="5" t="n"/>
      <c r="L43" s="5" t="n"/>
    </row>
    <row r="44">
      <c r="A44" s="4" t="n"/>
      <c r="B44" s="11" t="n"/>
      <c r="C44" s="15">
        <f>IF(A44="","",IFERROR(INDEX(Data_Gear!$B:$B,MATCH(A44,Data_Gear!$A:$A,0))&amp;"",""))</f>
        <v/>
      </c>
      <c r="D44" s="11">
        <f>IF(A44="","",IFERROR(N(INDEX(Data_Gear!$G:$G,MATCH(A44,Data_Gear!$A:$A,0))),0))</f>
        <v/>
      </c>
      <c r="E44" s="31">
        <f>IF(A44="",0,MAX(0,IF(N(B44)=0,1,N(B44))*N(D44)-IF(F44="Worn",IF(N(B44)=0,1,N(B44)),0)))</f>
        <v/>
      </c>
      <c r="F44" s="11" t="n"/>
      <c r="G44" s="15">
        <f>IF(A44="","",IFERROR(INDEX(Data_Gear!$H:$H,MATCH(A44,Data_Gear!$A:$A,0))&amp;"",""))</f>
        <v/>
      </c>
      <c r="H44" s="15">
        <f>IF(A44="","",IFERROR(INDEX(Data_Gear!$E:$E,MATCH(A44,Data_Gear!$A:$A,0))&amp;"",""))</f>
        <v/>
      </c>
      <c r="I44" s="19">
        <f>IF(A44="","",IFERROR(IF(N(B44)=0,1,N(B44))*INDEX(Data_Gear!$F:$F,MATCH(A44,Data_Gear!$A:$A,0)),""))</f>
        <v/>
      </c>
      <c r="J44" s="4" t="n"/>
      <c r="K44" s="5" t="n"/>
      <c r="L44" s="5" t="n"/>
    </row>
    <row r="45">
      <c r="A45" s="4" t="n"/>
      <c r="B45" s="11" t="n"/>
      <c r="C45" s="15">
        <f>IF(A45="","",IFERROR(INDEX(Data_Gear!$B:$B,MATCH(A45,Data_Gear!$A:$A,0))&amp;"",""))</f>
        <v/>
      </c>
      <c r="D45" s="11">
        <f>IF(A45="","",IFERROR(N(INDEX(Data_Gear!$G:$G,MATCH(A45,Data_Gear!$A:$A,0))),0))</f>
        <v/>
      </c>
      <c r="E45" s="31">
        <f>IF(A45="",0,MAX(0,IF(N(B45)=0,1,N(B45))*N(D45)-IF(F45="Worn",IF(N(B45)=0,1,N(B45)),0)))</f>
        <v/>
      </c>
      <c r="F45" s="11" t="n"/>
      <c r="G45" s="15">
        <f>IF(A45="","",IFERROR(INDEX(Data_Gear!$H:$H,MATCH(A45,Data_Gear!$A:$A,0))&amp;"",""))</f>
        <v/>
      </c>
      <c r="H45" s="15">
        <f>IF(A45="","",IFERROR(INDEX(Data_Gear!$E:$E,MATCH(A45,Data_Gear!$A:$A,0))&amp;"",""))</f>
        <v/>
      </c>
      <c r="I45" s="19">
        <f>IF(A45="","",IFERROR(IF(N(B45)=0,1,N(B45))*INDEX(Data_Gear!$F:$F,MATCH(A45,Data_Gear!$A:$A,0)),""))</f>
        <v/>
      </c>
      <c r="J45" s="4" t="n"/>
      <c r="K45" s="5" t="n"/>
      <c r="L45" s="5" t="n"/>
    </row>
    <row r="46">
      <c r="A46" s="4" t="n"/>
      <c r="B46" s="11" t="n"/>
      <c r="C46" s="15">
        <f>IF(A46="","",IFERROR(INDEX(Data_Gear!$B:$B,MATCH(A46,Data_Gear!$A:$A,0))&amp;"",""))</f>
        <v/>
      </c>
      <c r="D46" s="11">
        <f>IF(A46="","",IFERROR(N(INDEX(Data_Gear!$G:$G,MATCH(A46,Data_Gear!$A:$A,0))),0))</f>
        <v/>
      </c>
      <c r="E46" s="31">
        <f>IF(A46="",0,MAX(0,IF(N(B46)=0,1,N(B46))*N(D46)-IF(F46="Worn",IF(N(B46)=0,1,N(B46)),0)))</f>
        <v/>
      </c>
      <c r="F46" s="11" t="n"/>
      <c r="G46" s="15">
        <f>IF(A46="","",IFERROR(INDEX(Data_Gear!$H:$H,MATCH(A46,Data_Gear!$A:$A,0))&amp;"",""))</f>
        <v/>
      </c>
      <c r="H46" s="15">
        <f>IF(A46="","",IFERROR(INDEX(Data_Gear!$E:$E,MATCH(A46,Data_Gear!$A:$A,0))&amp;"",""))</f>
        <v/>
      </c>
      <c r="I46" s="19">
        <f>IF(A46="","",IFERROR(IF(N(B46)=0,1,N(B46))*INDEX(Data_Gear!$F:$F,MATCH(A46,Data_Gear!$A:$A,0)),""))</f>
        <v/>
      </c>
      <c r="J46" s="4" t="n"/>
      <c r="K46" s="5" t="n"/>
      <c r="L46" s="5" t="n"/>
    </row>
    <row r="47">
      <c r="A47" s="4" t="n"/>
      <c r="B47" s="11" t="n"/>
      <c r="C47" s="15">
        <f>IF(A47="","",IFERROR(INDEX(Data_Gear!$B:$B,MATCH(A47,Data_Gear!$A:$A,0))&amp;"",""))</f>
        <v/>
      </c>
      <c r="D47" s="11">
        <f>IF(A47="","",IFERROR(N(INDEX(Data_Gear!$G:$G,MATCH(A47,Data_Gear!$A:$A,0))),0))</f>
        <v/>
      </c>
      <c r="E47" s="31">
        <f>IF(A47="",0,MAX(0,IF(N(B47)=0,1,N(B47))*N(D47)-IF(F47="Worn",IF(N(B47)=0,1,N(B47)),0)))</f>
        <v/>
      </c>
      <c r="F47" s="11" t="n"/>
      <c r="G47" s="15">
        <f>IF(A47="","",IFERROR(INDEX(Data_Gear!$H:$H,MATCH(A47,Data_Gear!$A:$A,0))&amp;"",""))</f>
        <v/>
      </c>
      <c r="H47" s="15">
        <f>IF(A47="","",IFERROR(INDEX(Data_Gear!$E:$E,MATCH(A47,Data_Gear!$A:$A,0))&amp;"",""))</f>
        <v/>
      </c>
      <c r="I47" s="19">
        <f>IF(A47="","",IFERROR(IF(N(B47)=0,1,N(B47))*INDEX(Data_Gear!$F:$F,MATCH(A47,Data_Gear!$A:$A,0)),""))</f>
        <v/>
      </c>
      <c r="J47" s="4" t="n"/>
      <c r="K47" s="5" t="n"/>
      <c r="L47" s="5" t="n"/>
    </row>
    <row r="48">
      <c r="A48" s="4" t="n"/>
      <c r="B48" s="11" t="n"/>
      <c r="C48" s="15">
        <f>IF(A48="","",IFERROR(INDEX(Data_Gear!$B:$B,MATCH(A48,Data_Gear!$A:$A,0))&amp;"",""))</f>
        <v/>
      </c>
      <c r="D48" s="11">
        <f>IF(A48="","",IFERROR(N(INDEX(Data_Gear!$G:$G,MATCH(A48,Data_Gear!$A:$A,0))),0))</f>
        <v/>
      </c>
      <c r="E48" s="31">
        <f>IF(A48="",0,MAX(0,IF(N(B48)=0,1,N(B48))*N(D48)-IF(F48="Worn",IF(N(B48)=0,1,N(B48)),0)))</f>
        <v/>
      </c>
      <c r="F48" s="11" t="n"/>
      <c r="G48" s="15">
        <f>IF(A48="","",IFERROR(INDEX(Data_Gear!$H:$H,MATCH(A48,Data_Gear!$A:$A,0))&amp;"",""))</f>
        <v/>
      </c>
      <c r="H48" s="15">
        <f>IF(A48="","",IFERROR(INDEX(Data_Gear!$E:$E,MATCH(A48,Data_Gear!$A:$A,0))&amp;"",""))</f>
        <v/>
      </c>
      <c r="I48" s="19">
        <f>IF(A48="","",IFERROR(IF(N(B48)=0,1,N(B48))*INDEX(Data_Gear!$F:$F,MATCH(A48,Data_Gear!$A:$A,0)),""))</f>
        <v/>
      </c>
      <c r="J48" s="4" t="n"/>
      <c r="K48" s="5" t="n"/>
      <c r="L48" s="5" t="n"/>
    </row>
    <row r="49">
      <c r="A49" s="4" t="n"/>
      <c r="B49" s="11" t="n"/>
      <c r="C49" s="15">
        <f>IF(A49="","",IFERROR(INDEX(Data_Gear!$B:$B,MATCH(A49,Data_Gear!$A:$A,0))&amp;"",""))</f>
        <v/>
      </c>
      <c r="D49" s="11">
        <f>IF(A49="","",IFERROR(N(INDEX(Data_Gear!$G:$G,MATCH(A49,Data_Gear!$A:$A,0))),0))</f>
        <v/>
      </c>
      <c r="E49" s="31">
        <f>IF(A49="",0,MAX(0,IF(N(B49)=0,1,N(B49))*N(D49)-IF(F49="Worn",IF(N(B49)=0,1,N(B49)),0)))</f>
        <v/>
      </c>
      <c r="F49" s="11" t="n"/>
      <c r="G49" s="15">
        <f>IF(A49="","",IFERROR(INDEX(Data_Gear!$H:$H,MATCH(A49,Data_Gear!$A:$A,0))&amp;"",""))</f>
        <v/>
      </c>
      <c r="H49" s="15">
        <f>IF(A49="","",IFERROR(INDEX(Data_Gear!$E:$E,MATCH(A49,Data_Gear!$A:$A,0))&amp;"",""))</f>
        <v/>
      </c>
      <c r="I49" s="19">
        <f>IF(A49="","",IFERROR(IF(N(B49)=0,1,N(B49))*INDEX(Data_Gear!$F:$F,MATCH(A49,Data_Gear!$A:$A,0)),""))</f>
        <v/>
      </c>
      <c r="J49" s="4" t="n"/>
      <c r="K49" s="5" t="n"/>
      <c r="L49" s="5" t="n"/>
    </row>
    <row r="50">
      <c r="A50" s="4" t="n"/>
      <c r="B50" s="11" t="n"/>
      <c r="C50" s="15">
        <f>IF(A50="","",IFERROR(INDEX(Data_Gear!$B:$B,MATCH(A50,Data_Gear!$A:$A,0))&amp;"",""))</f>
        <v/>
      </c>
      <c r="D50" s="11">
        <f>IF(A50="","",IFERROR(N(INDEX(Data_Gear!$G:$G,MATCH(A50,Data_Gear!$A:$A,0))),0))</f>
        <v/>
      </c>
      <c r="E50" s="31">
        <f>IF(A50="",0,MAX(0,IF(N(B50)=0,1,N(B50))*N(D50)-IF(F50="Worn",IF(N(B50)=0,1,N(B50)),0)))</f>
        <v/>
      </c>
      <c r="F50" s="11" t="n"/>
      <c r="G50" s="15">
        <f>IF(A50="","",IFERROR(INDEX(Data_Gear!$H:$H,MATCH(A50,Data_Gear!$A:$A,0))&amp;"",""))</f>
        <v/>
      </c>
      <c r="H50" s="15">
        <f>IF(A50="","",IFERROR(INDEX(Data_Gear!$E:$E,MATCH(A50,Data_Gear!$A:$A,0))&amp;"",""))</f>
        <v/>
      </c>
      <c r="I50" s="19">
        <f>IF(A50="","",IFERROR(IF(N(B50)=0,1,N(B50))*INDEX(Data_Gear!$F:$F,MATCH(A50,Data_Gear!$A:$A,0)),""))</f>
        <v/>
      </c>
      <c r="J50" s="4" t="n"/>
      <c r="K50" s="5" t="n"/>
      <c r="L50" s="5" t="n"/>
    </row>
    <row r="51">
      <c r="A51" s="4" t="n"/>
      <c r="B51" s="11" t="n"/>
      <c r="C51" s="15">
        <f>IF(A51="","",IFERROR(INDEX(Data_Gear!$B:$B,MATCH(A51,Data_Gear!$A:$A,0))&amp;"",""))</f>
        <v/>
      </c>
      <c r="D51" s="11">
        <f>IF(A51="","",IFERROR(N(INDEX(Data_Gear!$G:$G,MATCH(A51,Data_Gear!$A:$A,0))),0))</f>
        <v/>
      </c>
      <c r="E51" s="31">
        <f>IF(A51="",0,MAX(0,IF(N(B51)=0,1,N(B51))*N(D51)-IF(F51="Worn",IF(N(B51)=0,1,N(B51)),0)))</f>
        <v/>
      </c>
      <c r="F51" s="11" t="n"/>
      <c r="G51" s="15">
        <f>IF(A51="","",IFERROR(INDEX(Data_Gear!$H:$H,MATCH(A51,Data_Gear!$A:$A,0))&amp;"",""))</f>
        <v/>
      </c>
      <c r="H51" s="15">
        <f>IF(A51="","",IFERROR(INDEX(Data_Gear!$E:$E,MATCH(A51,Data_Gear!$A:$A,0))&amp;"",""))</f>
        <v/>
      </c>
      <c r="I51" s="19">
        <f>IF(A51="","",IFERROR(IF(N(B51)=0,1,N(B51))*INDEX(Data_Gear!$F:$F,MATCH(A51,Data_Gear!$A:$A,0)),""))</f>
        <v/>
      </c>
      <c r="J51" s="4" t="n"/>
      <c r="K51" s="5" t="n"/>
      <c r="L51" s="5" t="n"/>
    </row>
    <row r="52">
      <c r="A52" s="4" t="n"/>
      <c r="B52" s="11" t="n"/>
      <c r="C52" s="15">
        <f>IF(A52="","",IFERROR(INDEX(Data_Gear!$B:$B,MATCH(A52,Data_Gear!$A:$A,0))&amp;"",""))</f>
        <v/>
      </c>
      <c r="D52" s="11">
        <f>IF(A52="","",IFERROR(N(INDEX(Data_Gear!$G:$G,MATCH(A52,Data_Gear!$A:$A,0))),0))</f>
        <v/>
      </c>
      <c r="E52" s="31">
        <f>IF(A52="",0,MAX(0,IF(N(B52)=0,1,N(B52))*N(D52)-IF(F52="Worn",IF(N(B52)=0,1,N(B52)),0)))</f>
        <v/>
      </c>
      <c r="F52" s="11" t="n"/>
      <c r="G52" s="15">
        <f>IF(A52="","",IFERROR(INDEX(Data_Gear!$H:$H,MATCH(A52,Data_Gear!$A:$A,0))&amp;"",""))</f>
        <v/>
      </c>
      <c r="H52" s="15">
        <f>IF(A52="","",IFERROR(INDEX(Data_Gear!$E:$E,MATCH(A52,Data_Gear!$A:$A,0))&amp;"",""))</f>
        <v/>
      </c>
      <c r="I52" s="19">
        <f>IF(A52="","",IFERROR(IF(N(B52)=0,1,N(B52))*INDEX(Data_Gear!$F:$F,MATCH(A52,Data_Gear!$A:$A,0)),""))</f>
        <v/>
      </c>
      <c r="J52" s="4" t="n"/>
      <c r="K52" s="5" t="n"/>
      <c r="L52" s="5" t="n"/>
    </row>
    <row r="53">
      <c r="A53" s="4" t="n"/>
      <c r="B53" s="11" t="n"/>
      <c r="C53" s="15">
        <f>IF(A53="","",IFERROR(INDEX(Data_Gear!$B:$B,MATCH(A53,Data_Gear!$A:$A,0))&amp;"",""))</f>
        <v/>
      </c>
      <c r="D53" s="11">
        <f>IF(A53="","",IFERROR(N(INDEX(Data_Gear!$G:$G,MATCH(A53,Data_Gear!$A:$A,0))),0))</f>
        <v/>
      </c>
      <c r="E53" s="31">
        <f>IF(A53="",0,MAX(0,IF(N(B53)=0,1,N(B53))*N(D53)-IF(F53="Worn",IF(N(B53)=0,1,N(B53)),0)))</f>
        <v/>
      </c>
      <c r="F53" s="11" t="n"/>
      <c r="G53" s="15">
        <f>IF(A53="","",IFERROR(INDEX(Data_Gear!$H:$H,MATCH(A53,Data_Gear!$A:$A,0))&amp;"",""))</f>
        <v/>
      </c>
      <c r="H53" s="15">
        <f>IF(A53="","",IFERROR(INDEX(Data_Gear!$E:$E,MATCH(A53,Data_Gear!$A:$A,0))&amp;"",""))</f>
        <v/>
      </c>
      <c r="I53" s="19">
        <f>IF(A53="","",IFERROR(IF(N(B53)=0,1,N(B53))*INDEX(Data_Gear!$F:$F,MATCH(A53,Data_Gear!$A:$A,0)),""))</f>
        <v/>
      </c>
      <c r="J53" s="4" t="n"/>
      <c r="K53" s="5" t="n"/>
      <c r="L53" s="5" t="n"/>
    </row>
    <row r="54">
      <c r="A54" s="4" t="n"/>
      <c r="B54" s="11" t="n"/>
      <c r="C54" s="15">
        <f>IF(A54="","",IFERROR(INDEX(Data_Gear!$B:$B,MATCH(A54,Data_Gear!$A:$A,0))&amp;"",""))</f>
        <v/>
      </c>
      <c r="D54" s="11">
        <f>IF(A54="","",IFERROR(N(INDEX(Data_Gear!$G:$G,MATCH(A54,Data_Gear!$A:$A,0))),0))</f>
        <v/>
      </c>
      <c r="E54" s="31">
        <f>IF(A54="",0,MAX(0,IF(N(B54)=0,1,N(B54))*N(D54)-IF(F54="Worn",IF(N(B54)=0,1,N(B54)),0)))</f>
        <v/>
      </c>
      <c r="F54" s="11" t="n"/>
      <c r="G54" s="15">
        <f>IF(A54="","",IFERROR(INDEX(Data_Gear!$H:$H,MATCH(A54,Data_Gear!$A:$A,0))&amp;"",""))</f>
        <v/>
      </c>
      <c r="H54" s="15">
        <f>IF(A54="","",IFERROR(INDEX(Data_Gear!$E:$E,MATCH(A54,Data_Gear!$A:$A,0))&amp;"",""))</f>
        <v/>
      </c>
      <c r="I54" s="19">
        <f>IF(A54="","",IFERROR(IF(N(B54)=0,1,N(B54))*INDEX(Data_Gear!$F:$F,MATCH(A54,Data_Gear!$A:$A,0)),""))</f>
        <v/>
      </c>
      <c r="J54" s="4" t="n"/>
      <c r="K54" s="5" t="n"/>
      <c r="L54" s="5" t="n"/>
    </row>
    <row r="55">
      <c r="A55" s="4" t="n"/>
      <c r="B55" s="11" t="n"/>
      <c r="C55" s="15">
        <f>IF(A55="","",IFERROR(INDEX(Data_Gear!$B:$B,MATCH(A55,Data_Gear!$A:$A,0))&amp;"",""))</f>
        <v/>
      </c>
      <c r="D55" s="11">
        <f>IF(A55="","",IFERROR(N(INDEX(Data_Gear!$G:$G,MATCH(A55,Data_Gear!$A:$A,0))),0))</f>
        <v/>
      </c>
      <c r="E55" s="31">
        <f>IF(A55="",0,MAX(0,IF(N(B55)=0,1,N(B55))*N(D55)-IF(F55="Worn",IF(N(B55)=0,1,N(B55)),0)))</f>
        <v/>
      </c>
      <c r="F55" s="11" t="n"/>
      <c r="G55" s="15">
        <f>IF(A55="","",IFERROR(INDEX(Data_Gear!$H:$H,MATCH(A55,Data_Gear!$A:$A,0))&amp;"",""))</f>
        <v/>
      </c>
      <c r="H55" s="15">
        <f>IF(A55="","",IFERROR(INDEX(Data_Gear!$E:$E,MATCH(A55,Data_Gear!$A:$A,0))&amp;"",""))</f>
        <v/>
      </c>
      <c r="I55" s="19">
        <f>IF(A55="","",IFERROR(IF(N(B55)=0,1,N(B55))*INDEX(Data_Gear!$F:$F,MATCH(A55,Data_Gear!$A:$A,0)),""))</f>
        <v/>
      </c>
      <c r="J55" s="4" t="n"/>
      <c r="K55" s="5" t="n"/>
      <c r="L55" s="5" t="n"/>
    </row>
    <row r="56">
      <c r="A56" s="4" t="n"/>
      <c r="B56" s="11" t="n"/>
      <c r="C56" s="15">
        <f>IF(A56="","",IFERROR(INDEX(Data_Gear!$B:$B,MATCH(A56,Data_Gear!$A:$A,0))&amp;"",""))</f>
        <v/>
      </c>
      <c r="D56" s="11">
        <f>IF(A56="","",IFERROR(N(INDEX(Data_Gear!$G:$G,MATCH(A56,Data_Gear!$A:$A,0))),0))</f>
        <v/>
      </c>
      <c r="E56" s="31">
        <f>IF(A56="",0,MAX(0,IF(N(B56)=0,1,N(B56))*N(D56)-IF(F56="Worn",IF(N(B56)=0,1,N(B56)),0)))</f>
        <v/>
      </c>
      <c r="F56" s="11" t="n"/>
      <c r="G56" s="15">
        <f>IF(A56="","",IFERROR(INDEX(Data_Gear!$H:$H,MATCH(A56,Data_Gear!$A:$A,0))&amp;"",""))</f>
        <v/>
      </c>
      <c r="H56" s="15">
        <f>IF(A56="","",IFERROR(INDEX(Data_Gear!$E:$E,MATCH(A56,Data_Gear!$A:$A,0))&amp;"",""))</f>
        <v/>
      </c>
      <c r="I56" s="19">
        <f>IF(A56="","",IFERROR(IF(N(B56)=0,1,N(B56))*INDEX(Data_Gear!$F:$F,MATCH(A56,Data_Gear!$A:$A,0)),""))</f>
        <v/>
      </c>
      <c r="J56" s="4" t="n"/>
      <c r="K56" s="5" t="n"/>
      <c r="L56" s="5" t="n"/>
    </row>
    <row r="57">
      <c r="A57" s="4" t="n"/>
      <c r="B57" s="11" t="n"/>
      <c r="C57" s="15">
        <f>IF(A57="","",IFERROR(INDEX(Data_Gear!$B:$B,MATCH(A57,Data_Gear!$A:$A,0))&amp;"",""))</f>
        <v/>
      </c>
      <c r="D57" s="11">
        <f>IF(A57="","",IFERROR(N(INDEX(Data_Gear!$G:$G,MATCH(A57,Data_Gear!$A:$A,0))),0))</f>
        <v/>
      </c>
      <c r="E57" s="31">
        <f>IF(A57="",0,MAX(0,IF(N(B57)=0,1,N(B57))*N(D57)-IF(F57="Worn",IF(N(B57)=0,1,N(B57)),0)))</f>
        <v/>
      </c>
      <c r="F57" s="11" t="n"/>
      <c r="G57" s="15">
        <f>IF(A57="","",IFERROR(INDEX(Data_Gear!$H:$H,MATCH(A57,Data_Gear!$A:$A,0))&amp;"",""))</f>
        <v/>
      </c>
      <c r="H57" s="15">
        <f>IF(A57="","",IFERROR(INDEX(Data_Gear!$E:$E,MATCH(A57,Data_Gear!$A:$A,0))&amp;"",""))</f>
        <v/>
      </c>
      <c r="I57" s="19">
        <f>IF(A57="","",IFERROR(IF(N(B57)=0,1,N(B57))*INDEX(Data_Gear!$F:$F,MATCH(A57,Data_Gear!$A:$A,0)),""))</f>
        <v/>
      </c>
      <c r="J57" s="4" t="n"/>
      <c r="K57" s="5" t="n"/>
      <c r="L57" s="5" t="n"/>
    </row>
    <row r="58">
      <c r="A58" s="4" t="n"/>
      <c r="B58" s="11" t="n"/>
      <c r="C58" s="15">
        <f>IF(A58="","",IFERROR(INDEX(Data_Gear!$B:$B,MATCH(A58,Data_Gear!$A:$A,0))&amp;"",""))</f>
        <v/>
      </c>
      <c r="D58" s="11">
        <f>IF(A58="","",IFERROR(N(INDEX(Data_Gear!$G:$G,MATCH(A58,Data_Gear!$A:$A,0))),0))</f>
        <v/>
      </c>
      <c r="E58" s="31">
        <f>IF(A58="",0,MAX(0,IF(N(B58)=0,1,N(B58))*N(D58)-IF(F58="Worn",IF(N(B58)=0,1,N(B58)),0)))</f>
        <v/>
      </c>
      <c r="F58" s="11" t="n"/>
      <c r="G58" s="15">
        <f>IF(A58="","",IFERROR(INDEX(Data_Gear!$H:$H,MATCH(A58,Data_Gear!$A:$A,0))&amp;"",""))</f>
        <v/>
      </c>
      <c r="H58" s="15">
        <f>IF(A58="","",IFERROR(INDEX(Data_Gear!$E:$E,MATCH(A58,Data_Gear!$A:$A,0))&amp;"",""))</f>
        <v/>
      </c>
      <c r="I58" s="19">
        <f>IF(A58="","",IFERROR(IF(N(B58)=0,1,N(B58))*INDEX(Data_Gear!$F:$F,MATCH(A58,Data_Gear!$A:$A,0)),""))</f>
        <v/>
      </c>
      <c r="J58" s="4" t="n"/>
      <c r="K58" s="5" t="n"/>
      <c r="L58" s="5" t="n"/>
    </row>
    <row r="59">
      <c r="A59" s="4" t="n"/>
      <c r="B59" s="11" t="n"/>
      <c r="C59" s="15">
        <f>IF(A59="","",IFERROR(INDEX(Data_Gear!$B:$B,MATCH(A59,Data_Gear!$A:$A,0))&amp;"",""))</f>
        <v/>
      </c>
      <c r="D59" s="11">
        <f>IF(A59="","",IFERROR(N(INDEX(Data_Gear!$G:$G,MATCH(A59,Data_Gear!$A:$A,0))),0))</f>
        <v/>
      </c>
      <c r="E59" s="31">
        <f>IF(A59="",0,MAX(0,IF(N(B59)=0,1,N(B59))*N(D59)-IF(F59="Worn",IF(N(B59)=0,1,N(B59)),0)))</f>
        <v/>
      </c>
      <c r="F59" s="11" t="n"/>
      <c r="G59" s="15">
        <f>IF(A59="","",IFERROR(INDEX(Data_Gear!$H:$H,MATCH(A59,Data_Gear!$A:$A,0))&amp;"",""))</f>
        <v/>
      </c>
      <c r="H59" s="15">
        <f>IF(A59="","",IFERROR(INDEX(Data_Gear!$E:$E,MATCH(A59,Data_Gear!$A:$A,0))&amp;"",""))</f>
        <v/>
      </c>
      <c r="I59" s="19">
        <f>IF(A59="","",IFERROR(IF(N(B59)=0,1,N(B59))*INDEX(Data_Gear!$F:$F,MATCH(A59,Data_Gear!$A:$A,0)),""))</f>
        <v/>
      </c>
      <c r="J59" s="4" t="n"/>
      <c r="K59" s="5" t="n"/>
      <c r="L59" s="5" t="n"/>
    </row>
    <row r="60">
      <c r="A60" s="4" t="n"/>
      <c r="B60" s="11" t="n"/>
      <c r="C60" s="15">
        <f>IF(A60="","",IFERROR(INDEX(Data_Gear!$B:$B,MATCH(A60,Data_Gear!$A:$A,0))&amp;"",""))</f>
        <v/>
      </c>
      <c r="D60" s="11">
        <f>IF(A60="","",IFERROR(N(INDEX(Data_Gear!$G:$G,MATCH(A60,Data_Gear!$A:$A,0))),0))</f>
        <v/>
      </c>
      <c r="E60" s="31">
        <f>IF(A60="",0,MAX(0,IF(N(B60)=0,1,N(B60))*N(D60)-IF(F60="Worn",IF(N(B60)=0,1,N(B60)),0)))</f>
        <v/>
      </c>
      <c r="F60" s="11" t="n"/>
      <c r="G60" s="15">
        <f>IF(A60="","",IFERROR(INDEX(Data_Gear!$H:$H,MATCH(A60,Data_Gear!$A:$A,0))&amp;"",""))</f>
        <v/>
      </c>
      <c r="H60" s="15">
        <f>IF(A60="","",IFERROR(INDEX(Data_Gear!$E:$E,MATCH(A60,Data_Gear!$A:$A,0))&amp;"",""))</f>
        <v/>
      </c>
      <c r="I60" s="19">
        <f>IF(A60="","",IFERROR(IF(N(B60)=0,1,N(B60))*INDEX(Data_Gear!$F:$F,MATCH(A60,Data_Gear!$A:$A,0)),""))</f>
        <v/>
      </c>
      <c r="J60" s="4" t="n"/>
      <c r="K60" s="5" t="n"/>
      <c r="L60" s="5" t="n"/>
    </row>
    <row r="61">
      <c r="A61" s="4" t="n"/>
      <c r="B61" s="11" t="n"/>
      <c r="C61" s="15">
        <f>IF(A61="","",IFERROR(INDEX(Data_Gear!$B:$B,MATCH(A61,Data_Gear!$A:$A,0))&amp;"",""))</f>
        <v/>
      </c>
      <c r="D61" s="11">
        <f>IF(A61="","",IFERROR(N(INDEX(Data_Gear!$G:$G,MATCH(A61,Data_Gear!$A:$A,0))),0))</f>
        <v/>
      </c>
      <c r="E61" s="31">
        <f>IF(A61="",0,MAX(0,IF(N(B61)=0,1,N(B61))*N(D61)-IF(F61="Worn",IF(N(B61)=0,1,N(B61)),0)))</f>
        <v/>
      </c>
      <c r="F61" s="11" t="n"/>
      <c r="G61" s="15">
        <f>IF(A61="","",IFERROR(INDEX(Data_Gear!$H:$H,MATCH(A61,Data_Gear!$A:$A,0))&amp;"",""))</f>
        <v/>
      </c>
      <c r="H61" s="15">
        <f>IF(A61="","",IFERROR(INDEX(Data_Gear!$E:$E,MATCH(A61,Data_Gear!$A:$A,0))&amp;"",""))</f>
        <v/>
      </c>
      <c r="I61" s="19">
        <f>IF(A61="","",IFERROR(IF(N(B61)=0,1,N(B61))*INDEX(Data_Gear!$F:$F,MATCH(A61,Data_Gear!$A:$A,0)),""))</f>
        <v/>
      </c>
      <c r="J61" s="4" t="n"/>
      <c r="K61" s="5" t="n"/>
      <c r="L61" s="5" t="n"/>
    </row>
    <row r="62">
      <c r="A62" s="4" t="n"/>
      <c r="B62" s="11" t="n"/>
      <c r="C62" s="15">
        <f>IF(A62="","",IFERROR(INDEX(Data_Gear!$B:$B,MATCH(A62,Data_Gear!$A:$A,0))&amp;"",""))</f>
        <v/>
      </c>
      <c r="D62" s="11">
        <f>IF(A62="","",IFERROR(N(INDEX(Data_Gear!$G:$G,MATCH(A62,Data_Gear!$A:$A,0))),0))</f>
        <v/>
      </c>
      <c r="E62" s="31">
        <f>IF(A62="",0,MAX(0,IF(N(B62)=0,1,N(B62))*N(D62)-IF(F62="Worn",IF(N(B62)=0,1,N(B62)),0)))</f>
        <v/>
      </c>
      <c r="F62" s="11" t="n"/>
      <c r="G62" s="15">
        <f>IF(A62="","",IFERROR(INDEX(Data_Gear!$H:$H,MATCH(A62,Data_Gear!$A:$A,0))&amp;"",""))</f>
        <v/>
      </c>
      <c r="H62" s="15">
        <f>IF(A62="","",IFERROR(INDEX(Data_Gear!$E:$E,MATCH(A62,Data_Gear!$A:$A,0))&amp;"",""))</f>
        <v/>
      </c>
      <c r="I62" s="19">
        <f>IF(A62="","",IFERROR(IF(N(B62)=0,1,N(B62))*INDEX(Data_Gear!$F:$F,MATCH(A62,Data_Gear!$A:$A,0)),""))</f>
        <v/>
      </c>
      <c r="J62" s="4" t="n"/>
      <c r="K62" s="5" t="n"/>
      <c r="L62" s="5" t="n"/>
    </row>
    <row r="63">
      <c r="A63" s="4" t="n"/>
      <c r="B63" s="11" t="n"/>
      <c r="C63" s="15">
        <f>IF(A63="","",IFERROR(INDEX(Data_Gear!$B:$B,MATCH(A63,Data_Gear!$A:$A,0))&amp;"",""))</f>
        <v/>
      </c>
      <c r="D63" s="11">
        <f>IF(A63="","",IFERROR(N(INDEX(Data_Gear!$G:$G,MATCH(A63,Data_Gear!$A:$A,0))),0))</f>
        <v/>
      </c>
      <c r="E63" s="31">
        <f>IF(A63="",0,MAX(0,IF(N(B63)=0,1,N(B63))*N(D63)-IF(F63="Worn",IF(N(B63)=0,1,N(B63)),0)))</f>
        <v/>
      </c>
      <c r="F63" s="11" t="n"/>
      <c r="G63" s="15">
        <f>IF(A63="","",IFERROR(INDEX(Data_Gear!$H:$H,MATCH(A63,Data_Gear!$A:$A,0))&amp;"",""))</f>
        <v/>
      </c>
      <c r="H63" s="15">
        <f>IF(A63="","",IFERROR(INDEX(Data_Gear!$E:$E,MATCH(A63,Data_Gear!$A:$A,0))&amp;"",""))</f>
        <v/>
      </c>
      <c r="I63" s="19">
        <f>IF(A63="","",IFERROR(IF(N(B63)=0,1,N(B63))*INDEX(Data_Gear!$F:$F,MATCH(A63,Data_Gear!$A:$A,0)),""))</f>
        <v/>
      </c>
      <c r="J63" s="4" t="n"/>
      <c r="K63" s="5" t="n"/>
      <c r="L63" s="5" t="n"/>
    </row>
    <row r="64">
      <c r="A64" s="4" t="n"/>
      <c r="B64" s="11" t="n"/>
      <c r="C64" s="15">
        <f>IF(A64="","",IFERROR(INDEX(Data_Gear!$B:$B,MATCH(A64,Data_Gear!$A:$A,0))&amp;"",""))</f>
        <v/>
      </c>
      <c r="D64" s="11">
        <f>IF(A64="","",IFERROR(N(INDEX(Data_Gear!$G:$G,MATCH(A64,Data_Gear!$A:$A,0))),0))</f>
        <v/>
      </c>
      <c r="E64" s="31">
        <f>IF(A64="",0,MAX(0,IF(N(B64)=0,1,N(B64))*N(D64)-IF(F64="Worn",IF(N(B64)=0,1,N(B64)),0)))</f>
        <v/>
      </c>
      <c r="F64" s="11" t="n"/>
      <c r="G64" s="15">
        <f>IF(A64="","",IFERROR(INDEX(Data_Gear!$H:$H,MATCH(A64,Data_Gear!$A:$A,0))&amp;"",""))</f>
        <v/>
      </c>
      <c r="H64" s="15">
        <f>IF(A64="","",IFERROR(INDEX(Data_Gear!$E:$E,MATCH(A64,Data_Gear!$A:$A,0))&amp;"",""))</f>
        <v/>
      </c>
      <c r="I64" s="19">
        <f>IF(A64="","",IFERROR(IF(N(B64)=0,1,N(B64))*INDEX(Data_Gear!$F:$F,MATCH(A64,Data_Gear!$A:$A,0)),""))</f>
        <v/>
      </c>
      <c r="J64" s="4" t="n"/>
      <c r="K64" s="5" t="n"/>
      <c r="L64" s="5" t="n"/>
    </row>
    <row r="65">
      <c r="A65" s="4" t="n"/>
      <c r="B65" s="11" t="n"/>
      <c r="C65" s="15">
        <f>IF(A65="","",IFERROR(INDEX(Data_Gear!$B:$B,MATCH(A65,Data_Gear!$A:$A,0))&amp;"",""))</f>
        <v/>
      </c>
      <c r="D65" s="11">
        <f>IF(A65="","",IFERROR(N(INDEX(Data_Gear!$G:$G,MATCH(A65,Data_Gear!$A:$A,0))),0))</f>
        <v/>
      </c>
      <c r="E65" s="31">
        <f>IF(A65="",0,MAX(0,IF(N(B65)=0,1,N(B65))*N(D65)-IF(F65="Worn",IF(N(B65)=0,1,N(B65)),0)))</f>
        <v/>
      </c>
      <c r="F65" s="11" t="n"/>
      <c r="G65" s="15">
        <f>IF(A65="","",IFERROR(INDEX(Data_Gear!$H:$H,MATCH(A65,Data_Gear!$A:$A,0))&amp;"",""))</f>
        <v/>
      </c>
      <c r="H65" s="15">
        <f>IF(A65="","",IFERROR(INDEX(Data_Gear!$E:$E,MATCH(A65,Data_Gear!$A:$A,0))&amp;"",""))</f>
        <v/>
      </c>
      <c r="I65" s="19">
        <f>IF(A65="","",IFERROR(IF(N(B65)=0,1,N(B65))*INDEX(Data_Gear!$F:$F,MATCH(A65,Data_Gear!$A:$A,0)),""))</f>
        <v/>
      </c>
      <c r="J65" s="4" t="n"/>
      <c r="K65" s="5" t="n"/>
      <c r="L65" s="5" t="n"/>
    </row>
    <row r="66">
      <c r="A66" s="4" t="n"/>
      <c r="B66" s="11" t="n"/>
      <c r="C66" s="15">
        <f>IF(A66="","",IFERROR(INDEX(Data_Gear!$B:$B,MATCH(A66,Data_Gear!$A:$A,0))&amp;"",""))</f>
        <v/>
      </c>
      <c r="D66" s="11">
        <f>IF(A66="","",IFERROR(N(INDEX(Data_Gear!$G:$G,MATCH(A66,Data_Gear!$A:$A,0))),0))</f>
        <v/>
      </c>
      <c r="E66" s="31">
        <f>IF(A66="",0,MAX(0,IF(N(B66)=0,1,N(B66))*N(D66)-IF(F66="Worn",IF(N(B66)=0,1,N(B66)),0)))</f>
        <v/>
      </c>
      <c r="F66" s="11" t="n"/>
      <c r="G66" s="15">
        <f>IF(A66="","",IFERROR(INDEX(Data_Gear!$H:$H,MATCH(A66,Data_Gear!$A:$A,0))&amp;"",""))</f>
        <v/>
      </c>
      <c r="H66" s="15">
        <f>IF(A66="","",IFERROR(INDEX(Data_Gear!$E:$E,MATCH(A66,Data_Gear!$A:$A,0))&amp;"",""))</f>
        <v/>
      </c>
      <c r="I66" s="19">
        <f>IF(A66="","",IFERROR(IF(N(B66)=0,1,N(B66))*INDEX(Data_Gear!$F:$F,MATCH(A66,Data_Gear!$A:$A,0)),""))</f>
        <v/>
      </c>
      <c r="J66" s="4" t="n"/>
      <c r="K66" s="5" t="n"/>
      <c r="L66" s="5" t="n"/>
    </row>
    <row r="67">
      <c r="A67" s="4" t="n"/>
      <c r="B67" s="11" t="n"/>
      <c r="C67" s="15">
        <f>IF(A67="","",IFERROR(INDEX(Data_Gear!$B:$B,MATCH(A67,Data_Gear!$A:$A,0))&amp;"",""))</f>
        <v/>
      </c>
      <c r="D67" s="11">
        <f>IF(A67="","",IFERROR(N(INDEX(Data_Gear!$G:$G,MATCH(A67,Data_Gear!$A:$A,0))),0))</f>
        <v/>
      </c>
      <c r="E67" s="31">
        <f>IF(A67="",0,MAX(0,IF(N(B67)=0,1,N(B67))*N(D67)-IF(F67="Worn",IF(N(B67)=0,1,N(B67)),0)))</f>
        <v/>
      </c>
      <c r="F67" s="11" t="n"/>
      <c r="G67" s="15">
        <f>IF(A67="","",IFERROR(INDEX(Data_Gear!$H:$H,MATCH(A67,Data_Gear!$A:$A,0))&amp;"",""))</f>
        <v/>
      </c>
      <c r="H67" s="15">
        <f>IF(A67="","",IFERROR(INDEX(Data_Gear!$E:$E,MATCH(A67,Data_Gear!$A:$A,0))&amp;"",""))</f>
        <v/>
      </c>
      <c r="I67" s="19">
        <f>IF(A67="","",IFERROR(IF(N(B67)=0,1,N(B67))*INDEX(Data_Gear!$F:$F,MATCH(A67,Data_Gear!$A:$A,0)),""))</f>
        <v/>
      </c>
      <c r="J67" s="4" t="n"/>
      <c r="K67" s="5" t="n"/>
      <c r="L67" s="5" t="n"/>
    </row>
    <row r="68">
      <c r="A68" s="4" t="n"/>
      <c r="B68" s="11" t="n"/>
      <c r="C68" s="15">
        <f>IF(A68="","",IFERROR(INDEX(Data_Gear!$B:$B,MATCH(A68,Data_Gear!$A:$A,0))&amp;"",""))</f>
        <v/>
      </c>
      <c r="D68" s="11">
        <f>IF(A68="","",IFERROR(N(INDEX(Data_Gear!$G:$G,MATCH(A68,Data_Gear!$A:$A,0))),0))</f>
        <v/>
      </c>
      <c r="E68" s="31">
        <f>IF(A68="",0,MAX(0,IF(N(B68)=0,1,N(B68))*N(D68)-IF(F68="Worn",IF(N(B68)=0,1,N(B68)),0)))</f>
        <v/>
      </c>
      <c r="F68" s="11" t="n"/>
      <c r="G68" s="15">
        <f>IF(A68="","",IFERROR(INDEX(Data_Gear!$H:$H,MATCH(A68,Data_Gear!$A:$A,0))&amp;"",""))</f>
        <v/>
      </c>
      <c r="H68" s="15">
        <f>IF(A68="","",IFERROR(INDEX(Data_Gear!$E:$E,MATCH(A68,Data_Gear!$A:$A,0))&amp;"",""))</f>
        <v/>
      </c>
      <c r="I68" s="19">
        <f>IF(A68="","",IFERROR(IF(N(B68)=0,1,N(B68))*INDEX(Data_Gear!$F:$F,MATCH(A68,Data_Gear!$A:$A,0)),""))</f>
        <v/>
      </c>
      <c r="J68" s="4" t="n"/>
      <c r="K68" s="5" t="n"/>
      <c r="L68" s="5" t="n"/>
    </row>
    <row r="69">
      <c r="A69" s="4" t="n"/>
      <c r="B69" s="11" t="n"/>
      <c r="C69" s="15">
        <f>IF(A69="","",IFERROR(INDEX(Data_Gear!$B:$B,MATCH(A69,Data_Gear!$A:$A,0))&amp;"",""))</f>
        <v/>
      </c>
      <c r="D69" s="11">
        <f>IF(A69="","",IFERROR(N(INDEX(Data_Gear!$G:$G,MATCH(A69,Data_Gear!$A:$A,0))),0))</f>
        <v/>
      </c>
      <c r="E69" s="31">
        <f>IF(A69="",0,MAX(0,IF(N(B69)=0,1,N(B69))*N(D69)-IF(F69="Worn",IF(N(B69)=0,1,N(B69)),0)))</f>
        <v/>
      </c>
      <c r="F69" s="11" t="n"/>
      <c r="G69" s="15">
        <f>IF(A69="","",IFERROR(INDEX(Data_Gear!$H:$H,MATCH(A69,Data_Gear!$A:$A,0))&amp;"",""))</f>
        <v/>
      </c>
      <c r="H69" s="15">
        <f>IF(A69="","",IFERROR(INDEX(Data_Gear!$E:$E,MATCH(A69,Data_Gear!$A:$A,0))&amp;"",""))</f>
        <v/>
      </c>
      <c r="I69" s="19">
        <f>IF(A69="","",IFERROR(IF(N(B69)=0,1,N(B69))*INDEX(Data_Gear!$F:$F,MATCH(A69,Data_Gear!$A:$A,0)),""))</f>
        <v/>
      </c>
      <c r="J69" s="4" t="n"/>
      <c r="K69" s="5" t="n"/>
      <c r="L69" s="5" t="n"/>
    </row>
    <row r="70">
      <c r="A70" s="4" t="n"/>
      <c r="B70" s="11" t="n"/>
      <c r="C70" s="15">
        <f>IF(A70="","",IFERROR(INDEX(Data_Gear!$B:$B,MATCH(A70,Data_Gear!$A:$A,0))&amp;"",""))</f>
        <v/>
      </c>
      <c r="D70" s="11">
        <f>IF(A70="","",IFERROR(N(INDEX(Data_Gear!$G:$G,MATCH(A70,Data_Gear!$A:$A,0))),0))</f>
        <v/>
      </c>
      <c r="E70" s="31">
        <f>IF(A70="",0,MAX(0,IF(N(B70)=0,1,N(B70))*N(D70)-IF(F70="Worn",IF(N(B70)=0,1,N(B70)),0)))</f>
        <v/>
      </c>
      <c r="F70" s="11" t="n"/>
      <c r="G70" s="15">
        <f>IF(A70="","",IFERROR(INDEX(Data_Gear!$H:$H,MATCH(A70,Data_Gear!$A:$A,0))&amp;"",""))</f>
        <v/>
      </c>
      <c r="H70" s="15">
        <f>IF(A70="","",IFERROR(INDEX(Data_Gear!$E:$E,MATCH(A70,Data_Gear!$A:$A,0))&amp;"",""))</f>
        <v/>
      </c>
      <c r="I70" s="19">
        <f>IF(A70="","",IFERROR(IF(N(B70)=0,1,N(B70))*INDEX(Data_Gear!$F:$F,MATCH(A70,Data_Gear!$A:$A,0)),""))</f>
        <v/>
      </c>
      <c r="J70" s="4" t="n"/>
      <c r="K70" s="5" t="n"/>
      <c r="L70" s="5" t="n"/>
    </row>
    <row r="71">
      <c r="A71" s="7" t="inlineStr">
        <is>
          <t>MONEY (1 GC = 20 shillings = 240 pennies · 200 coins = 1 Enc)</t>
        </is>
      </c>
    </row>
    <row r="72">
      <c r="A72" s="9" t="inlineStr">
        <is>
          <t>Coin</t>
        </is>
      </c>
      <c r="B72" s="9" t="inlineStr">
        <is>
          <t>Amount</t>
        </is>
      </c>
      <c r="C72" s="9" t="inlineStr">
        <is>
          <t>Location</t>
        </is>
      </c>
      <c r="D72" s="9" t="inlineStr">
        <is>
          <t>Value (pennies)</t>
        </is>
      </c>
      <c r="E72" s="9" t="inlineStr">
        <is>
          <t>Enc</t>
        </is>
      </c>
    </row>
    <row r="73">
      <c r="A73" s="26" t="inlineStr">
        <is>
          <t>Gold Crowns (GC)</t>
        </is>
      </c>
      <c r="B73" s="11" t="n">
        <v>0</v>
      </c>
      <c r="C73" s="11" t="inlineStr">
        <is>
          <t>Pouch</t>
        </is>
      </c>
      <c r="D73" s="19">
        <f>N(B73)*240</f>
        <v/>
      </c>
      <c r="E73" s="15">
        <f>INT(N(B73)/200)</f>
        <v/>
      </c>
    </row>
    <row r="74">
      <c r="A74" s="26" t="inlineStr">
        <is>
          <t>Silver Shillings (s)</t>
        </is>
      </c>
      <c r="B74" s="11" t="n">
        <v>0</v>
      </c>
      <c r="C74" s="11" t="inlineStr">
        <is>
          <t>Pouch</t>
        </is>
      </c>
      <c r="D74" s="19">
        <f>N(B74)*12</f>
        <v/>
      </c>
      <c r="E74" s="15">
        <f>INT(N(B74)/200)</f>
        <v/>
      </c>
    </row>
    <row r="75">
      <c r="A75" s="26" t="inlineStr">
        <is>
          <t>Brass Pennies (d)</t>
        </is>
      </c>
      <c r="B75" s="11" t="n">
        <v>0</v>
      </c>
      <c r="C75" s="11" t="inlineStr">
        <is>
          <t>Pouch</t>
        </is>
      </c>
      <c r="D75" s="19">
        <f>N(B75)*1</f>
        <v/>
      </c>
      <c r="E75" s="15">
        <f>INT(N(B75)/200)</f>
        <v/>
      </c>
    </row>
    <row r="76">
      <c r="A76" s="26" t="inlineStr">
        <is>
          <t>Total wealth</t>
        </is>
      </c>
      <c r="D76" s="32">
        <f>SUM(D73:D75)</f>
        <v/>
      </c>
      <c r="F76" s="13">
        <f>INT(D76/240)&amp;" GC "&amp;INT(MOD(D76,240)/12)&amp;"/"&amp;MOD(D76,12)</f>
        <v/>
      </c>
      <c r="G76" s="5" t="n"/>
      <c r="H76" s="5" t="n"/>
      <c r="I76" s="9" t="inlineStr">
        <is>
          <t>Trappings value</t>
        </is>
      </c>
      <c r="J76" s="15">
        <f>INT(SUM(I31:I70)/240)&amp;" GC "&amp;INT(MOD(SUM(I31:I70),240)/12)&amp;"/"&amp;MOD(SUM(I31:I70),12)</f>
        <v/>
      </c>
      <c r="K76" s="5" t="n"/>
      <c r="L76" s="5" t="n"/>
    </row>
    <row r="77"/>
    <row r="78">
      <c r="A78" s="7" t="inlineStr">
        <is>
          <t>ENCUMBRANCE BY LOCATION</t>
        </is>
      </c>
    </row>
    <row r="79">
      <c r="A79" s="9" t="inlineStr">
        <is>
          <t>Location</t>
        </is>
      </c>
      <c r="B79" s="9" t="inlineStr">
        <is>
          <t>Enc</t>
        </is>
      </c>
      <c r="C79" s="9" t="inlineStr">
        <is>
          <t>Capacity</t>
        </is>
      </c>
      <c r="D79" s="9" t="inlineStr">
        <is>
          <t>Status</t>
        </is>
      </c>
    </row>
    <row r="80">
      <c r="A80" s="26" t="inlineStr">
        <is>
          <t>Worn</t>
        </is>
      </c>
      <c r="B80" s="15">
        <f>SUMIF($I$6:$I$13,A80,$N$6:$N$13)+SUMIF($I$17:$I$24,A80,$N$17:$N$24)+SUMIF($F$31:$F$70,A80,$E$31:$E$70)+SUMIF($C$73:$C$75,A80,$E$73:$E$75)</f>
        <v/>
      </c>
      <c r="C80" s="15" t="n"/>
      <c r="D80" s="15">
        <f>IF(C80="","",IF(B80&gt;C80,"Over capacity",""))</f>
        <v/>
      </c>
    </row>
    <row r="81">
      <c r="A81" s="26" t="inlineStr">
        <is>
          <t>Carried</t>
        </is>
      </c>
      <c r="B81" s="15">
        <f>SUMIF($I$6:$I$13,A81,$N$6:$N$13)+SUMIF($I$17:$I$24,A81,$N$17:$N$24)+SUMIF($F$31:$F$70,A81,$E$31:$E$70)+SUMIF($C$73:$C$75,A81,$E$73:$E$75)</f>
        <v/>
      </c>
      <c r="C81" s="15" t="n"/>
      <c r="D81" s="15">
        <f>IF(C81="","",IF(B81&gt;C81,"Over capacity",""))</f>
        <v/>
      </c>
    </row>
    <row r="82">
      <c r="A82" s="26" t="inlineStr">
        <is>
          <t>Backpack</t>
        </is>
      </c>
      <c r="B82" s="15">
        <f>SUMIF($I$6:$I$13,A82,$N$6:$N$13)+SUMIF($I$17:$I$24,A82,$N$17:$N$24)+SUMIF($F$31:$F$70,A82,$E$31:$E$70)+SUMIF($C$73:$C$75,A82,$E$73:$E$75)</f>
        <v/>
      </c>
      <c r="C82" s="15" t="n">
        <v>4</v>
      </c>
      <c r="D82" s="15">
        <f>IF(C82="","",IF(B82&gt;C82,"Over capacity",""))</f>
        <v/>
      </c>
    </row>
    <row r="83">
      <c r="A83" s="26" t="inlineStr">
        <is>
          <t>Sling Bag</t>
        </is>
      </c>
      <c r="B83" s="15">
        <f>SUMIF($I$6:$I$13,A83,$N$6:$N$13)+SUMIF($I$17:$I$24,A83,$N$17:$N$24)+SUMIF($F$31:$F$70,A83,$E$31:$E$70)+SUMIF($C$73:$C$75,A83,$E$73:$E$75)</f>
        <v/>
      </c>
      <c r="C83" s="15" t="n">
        <v>2</v>
      </c>
      <c r="D83" s="15">
        <f>IF(C83="","",IF(B83&gt;C83,"Over capacity",""))</f>
        <v/>
      </c>
    </row>
    <row r="84">
      <c r="A84" s="26" t="inlineStr">
        <is>
          <t>Pouch</t>
        </is>
      </c>
      <c r="B84" s="15">
        <f>SUMIF($I$6:$I$13,A84,$N$6:$N$13)+SUMIF($I$17:$I$24,A84,$N$17:$N$24)+SUMIF($F$31:$F$70,A84,$E$31:$E$70)+SUMIF($C$73:$C$75,A84,$E$73:$E$75)</f>
        <v/>
      </c>
      <c r="C84" s="15" t="n">
        <v>1</v>
      </c>
      <c r="D84" s="15">
        <f>IF(C84="","",IF(B84&gt;C84,"Over capacity",""))</f>
        <v/>
      </c>
    </row>
    <row r="85">
      <c r="A85" s="26" t="inlineStr">
        <is>
          <t>Sack</t>
        </is>
      </c>
      <c r="B85" s="15">
        <f>SUMIF($I$6:$I$13,A85,$N$6:$N$13)+SUMIF($I$17:$I$24,A85,$N$17:$N$24)+SUMIF($F$31:$F$70,A85,$E$31:$E$70)+SUMIF($C$73:$C$75,A85,$E$73:$E$75)</f>
        <v/>
      </c>
      <c r="C85" s="15" t="n">
        <v>4</v>
      </c>
      <c r="D85" s="15">
        <f>IF(C85="","",IF(B85&gt;C85,"Over capacity",""))</f>
        <v/>
      </c>
    </row>
    <row r="86">
      <c r="A86" s="26" t="inlineStr">
        <is>
          <t>Large Sack</t>
        </is>
      </c>
      <c r="B86" s="15">
        <f>SUMIF($I$6:$I$13,A86,$N$6:$N$13)+SUMIF($I$17:$I$24,A86,$N$17:$N$24)+SUMIF($F$31:$F$70,A86,$E$31:$E$70)+SUMIF($C$73:$C$75,A86,$E$73:$E$75)</f>
        <v/>
      </c>
      <c r="C86" s="15" t="n">
        <v>6</v>
      </c>
      <c r="D86" s="15">
        <f>IF(C86="","",IF(B86&gt;C86,"Over capacity",""))</f>
        <v/>
      </c>
    </row>
    <row r="87">
      <c r="A87" s="26" t="inlineStr">
        <is>
          <t>Saddlebags</t>
        </is>
      </c>
      <c r="B87" s="15">
        <f>SUMIF($I$6:$I$13,A87,$N$6:$N$13)+SUMIF($I$17:$I$24,A87,$N$17:$N$24)+SUMIF($F$31:$F$70,A87,$E$31:$E$70)+SUMIF($C$73:$C$75,A87,$E$73:$E$75)</f>
        <v/>
      </c>
      <c r="C87" s="15" t="n">
        <v>8</v>
      </c>
      <c r="D87" s="15">
        <f>IF(C87="","",IF(B87&gt;C87,"Over capacity",""))</f>
        <v/>
      </c>
    </row>
    <row r="88">
      <c r="A88" s="26" t="inlineStr">
        <is>
          <t>Mount / Cart</t>
        </is>
      </c>
      <c r="B88" s="15">
        <f>SUMIF($I$6:$I$13,A88,$N$6:$N$13)+SUMIF($I$17:$I$24,A88,$N$17:$N$24)+SUMIF($F$31:$F$70,A88,$E$31:$E$70)+SUMIF($C$73:$C$75,A88,$E$73:$E$75)</f>
        <v/>
      </c>
      <c r="C88" s="15" t="n"/>
      <c r="D88" s="15">
        <f>IF(C88="","",IF(B88&gt;C88,"Over capacity",""))</f>
        <v/>
      </c>
    </row>
    <row r="89">
      <c r="A89" s="26" t="inlineStr">
        <is>
          <t>Stored</t>
        </is>
      </c>
      <c r="B89" s="15">
        <f>SUMIF($I$6:$I$13,A89,$N$6:$N$13)+SUMIF($I$17:$I$24,A89,$N$17:$N$24)+SUMIF($F$31:$F$70,A89,$E$31:$E$70)+SUMIF($C$73:$C$75,A89,$E$73:$E$75)</f>
        <v/>
      </c>
      <c r="C89" s="15" t="n"/>
      <c r="D89" s="15">
        <f>IF(C89="","",IF(B89&gt;C89,"Over capacity",""))</f>
        <v/>
      </c>
    </row>
    <row r="90">
      <c r="A90" s="26" t="inlineStr">
        <is>
          <t>ON YOUR PERSON (Worn + Carried)</t>
        </is>
      </c>
      <c r="B90" s="13">
        <f>B80+B81</f>
        <v/>
      </c>
      <c r="C90" s="13">
        <f>Character!$P$16</f>
        <v/>
      </c>
      <c r="D90" s="17">
        <f>IF(N(C90)=0,"",IF(B90&gt;C90,"OVERBURDENED","OK"))</f>
        <v/>
      </c>
      <c r="E90" s="2" t="inlineStr">
        <is>
          <t>Capacity of containers comes from the rulebook (Carries).</t>
        </is>
      </c>
    </row>
  </sheetData>
  <mergeCells count="59">
    <mergeCell ref="A78:L78"/>
    <mergeCell ref="J24:L24"/>
    <mergeCell ref="J49:L49"/>
    <mergeCell ref="J40:L40"/>
    <mergeCell ref="F76:H76"/>
    <mergeCell ref="J36:L36"/>
    <mergeCell ref="J65:L65"/>
    <mergeCell ref="J45:L45"/>
    <mergeCell ref="J70:L70"/>
    <mergeCell ref="J55:L55"/>
    <mergeCell ref="J35:L35"/>
    <mergeCell ref="J20:L20"/>
    <mergeCell ref="J63:L63"/>
    <mergeCell ref="A2:L2"/>
    <mergeCell ref="J41:L41"/>
    <mergeCell ref="J16:L16"/>
    <mergeCell ref="J54:L54"/>
    <mergeCell ref="J32:L32"/>
    <mergeCell ref="A71:L71"/>
    <mergeCell ref="J22:L22"/>
    <mergeCell ref="J66:L66"/>
    <mergeCell ref="J31:L31"/>
    <mergeCell ref="J47:L47"/>
    <mergeCell ref="J43:L43"/>
    <mergeCell ref="J50:L50"/>
    <mergeCell ref="J56:L56"/>
    <mergeCell ref="J68:L68"/>
    <mergeCell ref="J21:L21"/>
    <mergeCell ref="A4:L4"/>
    <mergeCell ref="J51:L51"/>
    <mergeCell ref="J46:L46"/>
    <mergeCell ref="A29:L29"/>
    <mergeCell ref="J33:L33"/>
    <mergeCell ref="J62:L62"/>
    <mergeCell ref="J42:L42"/>
    <mergeCell ref="J18:L18"/>
    <mergeCell ref="J58:L58"/>
    <mergeCell ref="J52:L52"/>
    <mergeCell ref="J76:L76"/>
    <mergeCell ref="J23:L23"/>
    <mergeCell ref="J61:L61"/>
    <mergeCell ref="J39:L39"/>
    <mergeCell ref="J48:L48"/>
    <mergeCell ref="J17:L17"/>
    <mergeCell ref="J64:L64"/>
    <mergeCell ref="J44:L44"/>
    <mergeCell ref="J67:L67"/>
    <mergeCell ref="J38:L38"/>
    <mergeCell ref="A15:L15"/>
    <mergeCell ref="J57:L57"/>
    <mergeCell ref="J19:L19"/>
    <mergeCell ref="J37:L37"/>
    <mergeCell ref="A1:L1"/>
    <mergeCell ref="J59:L59"/>
    <mergeCell ref="J60:L60"/>
    <mergeCell ref="J69:L69"/>
    <mergeCell ref="J34:L34"/>
    <mergeCell ref="J30:L30"/>
    <mergeCell ref="J53:L53"/>
  </mergeCells>
  <conditionalFormatting sqref="D80:D90">
    <cfRule type="expression" priority="1" dxfId="2">
      <formula>OR(D80="Over capacity",D80="OVERBURDENED")</formula>
    </cfRule>
  </conditionalFormatting>
  <dataValidations count="7">
    <dataValidation sqref="A6:A13" showDropDown="0" showInputMessage="0" showErrorMessage="0" allowBlank="1" type="list">
      <formula1>=Data_Gear!$A$2:$A$53</formula1>
    </dataValidation>
    <dataValidation sqref="I6:I13" showDropDown="0" showInputMessage="0" showErrorMessage="1" allowBlank="1" errorTitle="Invalid value" error="Please pick a value from the list." type="list">
      <formula1>=Data_Lists!$Q$2:$Q$11</formula1>
    </dataValidation>
    <dataValidation sqref="A17:A24" showDropDown="0" showInputMessage="0" showErrorMessage="0" allowBlank="1" type="list">
      <formula1>=Data_Gear!$A$62:$A$77</formula1>
    </dataValidation>
    <dataValidation sqref="I17:I24" showDropDown="0" showInputMessage="0" showErrorMessage="1" allowBlank="1" errorTitle="Invalid value" error="Please pick a value from the list." type="list">
      <formula1>=Data_Lists!$Q$2:$Q$11</formula1>
    </dataValidation>
    <dataValidation sqref="A31:A70" showDropDown="0" showInputMessage="0" showErrorMessage="0" allowBlank="1" type="list">
      <formula1>=Data_Gear!$A$2:$A$261</formula1>
    </dataValidation>
    <dataValidation sqref="F31:F70" showDropDown="0" showInputMessage="0" showErrorMessage="1" allowBlank="1" errorTitle="Invalid value" error="Please pick a value from the list." type="list">
      <formula1>=Data_Lists!$Q$2:$Q$11</formula1>
    </dataValidation>
    <dataValidation sqref="C73:C75" showDropDown="0" showInputMessage="0" showErrorMessage="1" allowBlank="1" errorTitle="Invalid value" error="Please pick a value from the list." type="list">
      <formula1>=Data_Lists!$Q$2:$Q$11</formula1>
    </dataValidation>
  </dataValidations>
  <pageMargins left="0.75" right="0.75" top="1" bottom="1" header="0.5" footer="0.5"/>
</worksheet>
</file>

<file path=xl/worksheets/sheet4.xml><?xml version="1.0" encoding="utf-8"?>
<worksheet xmlns="http://schemas.openxmlformats.org/spreadsheetml/2006/main">
  <sheetPr>
    <tabColor rgb="003B5B8A"/>
    <outlinePr summaryBelow="1" summaryRight="1"/>
    <pageSetUpPr/>
  </sheetPr>
  <dimension ref="A1:N62"/>
  <sheetViews>
    <sheetView workbookViewId="0">
      <pane ySplit="4" topLeftCell="A5" activePane="bottomLeft" state="frozen"/>
      <selection pane="bottomLeft" activeCell="A1" sqref="A1"/>
    </sheetView>
  </sheetViews>
  <sheetFormatPr baseColWidth="8" defaultRowHeight="15"/>
  <cols>
    <col width="26" customWidth="1" min="1" max="1"/>
    <col width="12" customWidth="1" min="2" max="2"/>
    <col width="6" customWidth="1" min="3" max="3"/>
    <col width="16" customWidth="1" min="4" max="4"/>
    <col width="16" customWidth="1" min="5" max="5"/>
    <col width="14" customWidth="1" min="6" max="6"/>
    <col width="10" customWidth="1" min="7" max="7"/>
    <col width="8" customWidth="1" min="8" max="8"/>
    <col width="16" customWidth="1" min="9" max="9"/>
    <col width="16" customWidth="1" min="10" max="10"/>
    <col width="16" customWidth="1" min="11" max="11"/>
    <col width="16" customWidth="1" min="12" max="12"/>
    <col width="6" customWidth="1" min="13" max="13"/>
    <col hidden="1" width="4" customWidth="1" min="14" max="14"/>
  </cols>
  <sheetData>
    <row r="1">
      <c r="A1" s="1" t="inlineStr">
        <is>
          <t>SPELLS &amp; PRAYERS</t>
        </is>
      </c>
    </row>
    <row r="2">
      <c r="A2" s="2" t="inlineStr">
        <is>
          <t>XP cost follows the number already known: 1st–5th spell 100 XP (petty 50), 6th–10th 200 (petty 100) … up to 500 (petty 250). Mark spells learnt at character creation as free.</t>
        </is>
      </c>
    </row>
    <row r="3">
      <c r="A3" s="26" t="inlineStr">
        <is>
          <t>Arcane lore</t>
        </is>
      </c>
      <c r="B3" s="12" t="n"/>
      <c r="C3" s="5" t="n"/>
      <c r="D3" s="26" t="inlineStr">
        <is>
          <t>Channelling</t>
        </is>
      </c>
      <c r="E3" s="13">
        <f>IFERROR(INDEX(Character!$G$27:$G$77,MATCH("Channelling*",Character!$A$27:$A$77,0)),"—")</f>
        <v/>
      </c>
      <c r="F3" s="26" t="inlineStr">
        <is>
          <t>Language (Magick)</t>
        </is>
      </c>
      <c r="G3" s="13">
        <f>IFERROR(INDEX(Character!$G$27:$G$77,MATCH("Language (Magick)",Character!$A$27:$A$77,0)),"—")</f>
        <v/>
      </c>
      <c r="I3" s="26" t="inlineStr">
        <is>
          <t>Deity</t>
        </is>
      </c>
      <c r="J3" s="12" t="n"/>
      <c r="K3" s="5" t="n"/>
      <c r="L3" s="26" t="inlineStr">
        <is>
          <t>Pray</t>
        </is>
      </c>
      <c r="M3" s="13">
        <f>IFERROR(INDEX(Character!$G$27:$G$77,MATCH("Pray",Character!$A$27:$A$77,0)),"—")</f>
        <v/>
      </c>
    </row>
    <row r="4">
      <c r="A4" s="26" t="inlineStr">
        <is>
          <t>XP spent (spells &amp; miracles)</t>
        </is>
      </c>
      <c r="B4" s="21">
        <f>SUM(H9:H38)+SUM(H51:H62)</f>
        <v/>
      </c>
    </row>
    <row r="5"/>
    <row r="6"/>
    <row r="7">
      <c r="A7" s="7" t="inlineStr">
        <is>
          <t>SPELLS (Petty, Arcane and Lore spells)</t>
        </is>
      </c>
    </row>
    <row r="8">
      <c r="A8" s="9" t="inlineStr">
        <is>
          <t>Name</t>
        </is>
      </c>
      <c r="B8" s="9" t="inlineStr">
        <is>
          <t>Lore / God</t>
        </is>
      </c>
      <c r="C8" s="9" t="inlineStr">
        <is>
          <t>CN</t>
        </is>
      </c>
      <c r="D8" s="9" t="inlineStr">
        <is>
          <t>Range</t>
        </is>
      </c>
      <c r="E8" s="9" t="inlineStr">
        <is>
          <t>Target</t>
        </is>
      </c>
      <c r="F8" s="9" t="inlineStr">
        <is>
          <t>Duration</t>
        </is>
      </c>
      <c r="G8" s="9" t="inlineStr">
        <is>
          <t>Learnt free?</t>
        </is>
      </c>
      <c r="H8" s="9" t="inlineStr">
        <is>
          <t>XP cost</t>
        </is>
      </c>
      <c r="I8" s="9" t="inlineStr">
        <is>
          <t>Description</t>
        </is>
      </c>
      <c r="J8" s="5" t="n"/>
      <c r="K8" s="5" t="n"/>
      <c r="L8" s="5" t="n"/>
      <c r="M8" s="9" t="inlineStr">
        <is>
          <t>Page</t>
        </is>
      </c>
    </row>
    <row r="9">
      <c r="A9" s="33" t="n"/>
      <c r="B9" s="34">
        <f>IF(A9="","",IFERROR(INDEX(Data_Spells!$C:$C,MATCH(A9,Data_Spells!$A:$A,0))&amp;"",""))</f>
        <v/>
      </c>
      <c r="C9" s="34">
        <f>IF(A9="","",IFERROR(INDEX(Data_Spells!$D:$D,MATCH(A9,Data_Spells!$A:$A,0))&amp;"",""))</f>
        <v/>
      </c>
      <c r="D9" s="34">
        <f>IF(A9="","",IFERROR(INDEX(Data_Spells!$E:$E,MATCH(A9,Data_Spells!$A:$A,0))&amp;"",""))</f>
        <v/>
      </c>
      <c r="E9" s="34">
        <f>IF(A9="","",IFERROR(INDEX(Data_Spells!$F:$F,MATCH(A9,Data_Spells!$A:$A,0))&amp;"",""))</f>
        <v/>
      </c>
      <c r="F9" s="34">
        <f>IF(A9="","",IFERROR(INDEX(Data_Spells!$G:$G,MATCH(A9,Data_Spells!$A:$A,0))&amp;"",""))</f>
        <v/>
      </c>
      <c r="G9" s="11" t="n"/>
      <c r="H9" s="19">
        <f>IF(A9="","",IF(G9="Yes",0,IF(N9="P",50,100)*MIN(5,INT((COUNTIF($N$9:N9,N9)-1)/5)+1)))</f>
        <v/>
      </c>
      <c r="I9" s="25">
        <f>IF(A9="","",IFERROR(INDEX(Data_Spells!$H:$H,MATCH(A9,Data_Spells!$A:$A,0))&amp;"",""))</f>
        <v/>
      </c>
      <c r="J9" s="5" t="n"/>
      <c r="K9" s="5" t="n"/>
      <c r="L9" s="5" t="n"/>
      <c r="M9" s="15">
        <f>IF(A9="","",IFERROR(INDEX(Data_Spells!$I:$I,MATCH(A9,Data_Spells!$A:$A,0))&amp;"",""))</f>
        <v/>
      </c>
      <c r="N9">
        <f>IF(A9="","",IF(B9="Petty","P","L"))</f>
        <v/>
      </c>
    </row>
    <row r="10">
      <c r="A10" s="33" t="n"/>
      <c r="B10" s="34">
        <f>IF(A10="","",IFERROR(INDEX(Data_Spells!$C:$C,MATCH(A10,Data_Spells!$A:$A,0))&amp;"",""))</f>
        <v/>
      </c>
      <c r="C10" s="34">
        <f>IF(A10="","",IFERROR(INDEX(Data_Spells!$D:$D,MATCH(A10,Data_Spells!$A:$A,0))&amp;"",""))</f>
        <v/>
      </c>
      <c r="D10" s="34">
        <f>IF(A10="","",IFERROR(INDEX(Data_Spells!$E:$E,MATCH(A10,Data_Spells!$A:$A,0))&amp;"",""))</f>
        <v/>
      </c>
      <c r="E10" s="34">
        <f>IF(A10="","",IFERROR(INDEX(Data_Spells!$F:$F,MATCH(A10,Data_Spells!$A:$A,0))&amp;"",""))</f>
        <v/>
      </c>
      <c r="F10" s="34">
        <f>IF(A10="","",IFERROR(INDEX(Data_Spells!$G:$G,MATCH(A10,Data_Spells!$A:$A,0))&amp;"",""))</f>
        <v/>
      </c>
      <c r="G10" s="11" t="n"/>
      <c r="H10" s="19">
        <f>IF(A10="","",IF(G10="Yes",0,IF(N10="P",50,100)*MIN(5,INT((COUNTIF($N$9:N10,N10)-1)/5)+1)))</f>
        <v/>
      </c>
      <c r="I10" s="25">
        <f>IF(A10="","",IFERROR(INDEX(Data_Spells!$H:$H,MATCH(A10,Data_Spells!$A:$A,0))&amp;"",""))</f>
        <v/>
      </c>
      <c r="J10" s="5" t="n"/>
      <c r="K10" s="5" t="n"/>
      <c r="L10" s="5" t="n"/>
      <c r="M10" s="15">
        <f>IF(A10="","",IFERROR(INDEX(Data_Spells!$I:$I,MATCH(A10,Data_Spells!$A:$A,0))&amp;"",""))</f>
        <v/>
      </c>
      <c r="N10">
        <f>IF(A10="","",IF(B10="Petty","P","L"))</f>
        <v/>
      </c>
    </row>
    <row r="11">
      <c r="A11" s="33" t="n"/>
      <c r="B11" s="34">
        <f>IF(A11="","",IFERROR(INDEX(Data_Spells!$C:$C,MATCH(A11,Data_Spells!$A:$A,0))&amp;"",""))</f>
        <v/>
      </c>
      <c r="C11" s="34">
        <f>IF(A11="","",IFERROR(INDEX(Data_Spells!$D:$D,MATCH(A11,Data_Spells!$A:$A,0))&amp;"",""))</f>
        <v/>
      </c>
      <c r="D11" s="34">
        <f>IF(A11="","",IFERROR(INDEX(Data_Spells!$E:$E,MATCH(A11,Data_Spells!$A:$A,0))&amp;"",""))</f>
        <v/>
      </c>
      <c r="E11" s="34">
        <f>IF(A11="","",IFERROR(INDEX(Data_Spells!$F:$F,MATCH(A11,Data_Spells!$A:$A,0))&amp;"",""))</f>
        <v/>
      </c>
      <c r="F11" s="34">
        <f>IF(A11="","",IFERROR(INDEX(Data_Spells!$G:$G,MATCH(A11,Data_Spells!$A:$A,0))&amp;"",""))</f>
        <v/>
      </c>
      <c r="G11" s="11" t="n"/>
      <c r="H11" s="19">
        <f>IF(A11="","",IF(G11="Yes",0,IF(N11="P",50,100)*MIN(5,INT((COUNTIF($N$9:N11,N11)-1)/5)+1)))</f>
        <v/>
      </c>
      <c r="I11" s="25">
        <f>IF(A11="","",IFERROR(INDEX(Data_Spells!$H:$H,MATCH(A11,Data_Spells!$A:$A,0))&amp;"",""))</f>
        <v/>
      </c>
      <c r="J11" s="5" t="n"/>
      <c r="K11" s="5" t="n"/>
      <c r="L11" s="5" t="n"/>
      <c r="M11" s="15">
        <f>IF(A11="","",IFERROR(INDEX(Data_Spells!$I:$I,MATCH(A11,Data_Spells!$A:$A,0))&amp;"",""))</f>
        <v/>
      </c>
      <c r="N11">
        <f>IF(A11="","",IF(B11="Petty","P","L"))</f>
        <v/>
      </c>
    </row>
    <row r="12">
      <c r="A12" s="33" t="n"/>
      <c r="B12" s="34">
        <f>IF(A12="","",IFERROR(INDEX(Data_Spells!$C:$C,MATCH(A12,Data_Spells!$A:$A,0))&amp;"",""))</f>
        <v/>
      </c>
      <c r="C12" s="34">
        <f>IF(A12="","",IFERROR(INDEX(Data_Spells!$D:$D,MATCH(A12,Data_Spells!$A:$A,0))&amp;"",""))</f>
        <v/>
      </c>
      <c r="D12" s="34">
        <f>IF(A12="","",IFERROR(INDEX(Data_Spells!$E:$E,MATCH(A12,Data_Spells!$A:$A,0))&amp;"",""))</f>
        <v/>
      </c>
      <c r="E12" s="34">
        <f>IF(A12="","",IFERROR(INDEX(Data_Spells!$F:$F,MATCH(A12,Data_Spells!$A:$A,0))&amp;"",""))</f>
        <v/>
      </c>
      <c r="F12" s="34">
        <f>IF(A12="","",IFERROR(INDEX(Data_Spells!$G:$G,MATCH(A12,Data_Spells!$A:$A,0))&amp;"",""))</f>
        <v/>
      </c>
      <c r="G12" s="11" t="n"/>
      <c r="H12" s="19">
        <f>IF(A12="","",IF(G12="Yes",0,IF(N12="P",50,100)*MIN(5,INT((COUNTIF($N$9:N12,N12)-1)/5)+1)))</f>
        <v/>
      </c>
      <c r="I12" s="25">
        <f>IF(A12="","",IFERROR(INDEX(Data_Spells!$H:$H,MATCH(A12,Data_Spells!$A:$A,0))&amp;"",""))</f>
        <v/>
      </c>
      <c r="J12" s="5" t="n"/>
      <c r="K12" s="5" t="n"/>
      <c r="L12" s="5" t="n"/>
      <c r="M12" s="15">
        <f>IF(A12="","",IFERROR(INDEX(Data_Spells!$I:$I,MATCH(A12,Data_Spells!$A:$A,0))&amp;"",""))</f>
        <v/>
      </c>
      <c r="N12">
        <f>IF(A12="","",IF(B12="Petty","P","L"))</f>
        <v/>
      </c>
    </row>
    <row r="13">
      <c r="A13" s="33" t="n"/>
      <c r="B13" s="34">
        <f>IF(A13="","",IFERROR(INDEX(Data_Spells!$C:$C,MATCH(A13,Data_Spells!$A:$A,0))&amp;"",""))</f>
        <v/>
      </c>
      <c r="C13" s="34">
        <f>IF(A13="","",IFERROR(INDEX(Data_Spells!$D:$D,MATCH(A13,Data_Spells!$A:$A,0))&amp;"",""))</f>
        <v/>
      </c>
      <c r="D13" s="34">
        <f>IF(A13="","",IFERROR(INDEX(Data_Spells!$E:$E,MATCH(A13,Data_Spells!$A:$A,0))&amp;"",""))</f>
        <v/>
      </c>
      <c r="E13" s="34">
        <f>IF(A13="","",IFERROR(INDEX(Data_Spells!$F:$F,MATCH(A13,Data_Spells!$A:$A,0))&amp;"",""))</f>
        <v/>
      </c>
      <c r="F13" s="34">
        <f>IF(A13="","",IFERROR(INDEX(Data_Spells!$G:$G,MATCH(A13,Data_Spells!$A:$A,0))&amp;"",""))</f>
        <v/>
      </c>
      <c r="G13" s="11" t="n"/>
      <c r="H13" s="19">
        <f>IF(A13="","",IF(G13="Yes",0,IF(N13="P",50,100)*MIN(5,INT((COUNTIF($N$9:N13,N13)-1)/5)+1)))</f>
        <v/>
      </c>
      <c r="I13" s="25">
        <f>IF(A13="","",IFERROR(INDEX(Data_Spells!$H:$H,MATCH(A13,Data_Spells!$A:$A,0))&amp;"",""))</f>
        <v/>
      </c>
      <c r="J13" s="5" t="n"/>
      <c r="K13" s="5" t="n"/>
      <c r="L13" s="5" t="n"/>
      <c r="M13" s="15">
        <f>IF(A13="","",IFERROR(INDEX(Data_Spells!$I:$I,MATCH(A13,Data_Spells!$A:$A,0))&amp;"",""))</f>
        <v/>
      </c>
      <c r="N13">
        <f>IF(A13="","",IF(B13="Petty","P","L"))</f>
        <v/>
      </c>
    </row>
    <row r="14">
      <c r="A14" s="33" t="n"/>
      <c r="B14" s="34">
        <f>IF(A14="","",IFERROR(INDEX(Data_Spells!$C:$C,MATCH(A14,Data_Spells!$A:$A,0))&amp;"",""))</f>
        <v/>
      </c>
      <c r="C14" s="34">
        <f>IF(A14="","",IFERROR(INDEX(Data_Spells!$D:$D,MATCH(A14,Data_Spells!$A:$A,0))&amp;"",""))</f>
        <v/>
      </c>
      <c r="D14" s="34">
        <f>IF(A14="","",IFERROR(INDEX(Data_Spells!$E:$E,MATCH(A14,Data_Spells!$A:$A,0))&amp;"",""))</f>
        <v/>
      </c>
      <c r="E14" s="34">
        <f>IF(A14="","",IFERROR(INDEX(Data_Spells!$F:$F,MATCH(A14,Data_Spells!$A:$A,0))&amp;"",""))</f>
        <v/>
      </c>
      <c r="F14" s="34">
        <f>IF(A14="","",IFERROR(INDEX(Data_Spells!$G:$G,MATCH(A14,Data_Spells!$A:$A,0))&amp;"",""))</f>
        <v/>
      </c>
      <c r="G14" s="11" t="n"/>
      <c r="H14" s="19">
        <f>IF(A14="","",IF(G14="Yes",0,IF(N14="P",50,100)*MIN(5,INT((COUNTIF($N$9:N14,N14)-1)/5)+1)))</f>
        <v/>
      </c>
      <c r="I14" s="25">
        <f>IF(A14="","",IFERROR(INDEX(Data_Spells!$H:$H,MATCH(A14,Data_Spells!$A:$A,0))&amp;"",""))</f>
        <v/>
      </c>
      <c r="J14" s="5" t="n"/>
      <c r="K14" s="5" t="n"/>
      <c r="L14" s="5" t="n"/>
      <c r="M14" s="15">
        <f>IF(A14="","",IFERROR(INDEX(Data_Spells!$I:$I,MATCH(A14,Data_Spells!$A:$A,0))&amp;"",""))</f>
        <v/>
      </c>
      <c r="N14">
        <f>IF(A14="","",IF(B14="Petty","P","L"))</f>
        <v/>
      </c>
    </row>
    <row r="15">
      <c r="A15" s="33" t="n"/>
      <c r="B15" s="34">
        <f>IF(A15="","",IFERROR(INDEX(Data_Spells!$C:$C,MATCH(A15,Data_Spells!$A:$A,0))&amp;"",""))</f>
        <v/>
      </c>
      <c r="C15" s="34">
        <f>IF(A15="","",IFERROR(INDEX(Data_Spells!$D:$D,MATCH(A15,Data_Spells!$A:$A,0))&amp;"",""))</f>
        <v/>
      </c>
      <c r="D15" s="34">
        <f>IF(A15="","",IFERROR(INDEX(Data_Spells!$E:$E,MATCH(A15,Data_Spells!$A:$A,0))&amp;"",""))</f>
        <v/>
      </c>
      <c r="E15" s="34">
        <f>IF(A15="","",IFERROR(INDEX(Data_Spells!$F:$F,MATCH(A15,Data_Spells!$A:$A,0))&amp;"",""))</f>
        <v/>
      </c>
      <c r="F15" s="34">
        <f>IF(A15="","",IFERROR(INDEX(Data_Spells!$G:$G,MATCH(A15,Data_Spells!$A:$A,0))&amp;"",""))</f>
        <v/>
      </c>
      <c r="G15" s="11" t="n"/>
      <c r="H15" s="19">
        <f>IF(A15="","",IF(G15="Yes",0,IF(N15="P",50,100)*MIN(5,INT((COUNTIF($N$9:N15,N15)-1)/5)+1)))</f>
        <v/>
      </c>
      <c r="I15" s="25">
        <f>IF(A15="","",IFERROR(INDEX(Data_Spells!$H:$H,MATCH(A15,Data_Spells!$A:$A,0))&amp;"",""))</f>
        <v/>
      </c>
      <c r="J15" s="5" t="n"/>
      <c r="K15" s="5" t="n"/>
      <c r="L15" s="5" t="n"/>
      <c r="M15" s="15">
        <f>IF(A15="","",IFERROR(INDEX(Data_Spells!$I:$I,MATCH(A15,Data_Spells!$A:$A,0))&amp;"",""))</f>
        <v/>
      </c>
      <c r="N15">
        <f>IF(A15="","",IF(B15="Petty","P","L"))</f>
        <v/>
      </c>
    </row>
    <row r="16">
      <c r="A16" s="33" t="n"/>
      <c r="B16" s="34">
        <f>IF(A16="","",IFERROR(INDEX(Data_Spells!$C:$C,MATCH(A16,Data_Spells!$A:$A,0))&amp;"",""))</f>
        <v/>
      </c>
      <c r="C16" s="34">
        <f>IF(A16="","",IFERROR(INDEX(Data_Spells!$D:$D,MATCH(A16,Data_Spells!$A:$A,0))&amp;"",""))</f>
        <v/>
      </c>
      <c r="D16" s="34">
        <f>IF(A16="","",IFERROR(INDEX(Data_Spells!$E:$E,MATCH(A16,Data_Spells!$A:$A,0))&amp;"",""))</f>
        <v/>
      </c>
      <c r="E16" s="34">
        <f>IF(A16="","",IFERROR(INDEX(Data_Spells!$F:$F,MATCH(A16,Data_Spells!$A:$A,0))&amp;"",""))</f>
        <v/>
      </c>
      <c r="F16" s="34">
        <f>IF(A16="","",IFERROR(INDEX(Data_Spells!$G:$G,MATCH(A16,Data_Spells!$A:$A,0))&amp;"",""))</f>
        <v/>
      </c>
      <c r="G16" s="11" t="n"/>
      <c r="H16" s="19">
        <f>IF(A16="","",IF(G16="Yes",0,IF(N16="P",50,100)*MIN(5,INT((COUNTIF($N$9:N16,N16)-1)/5)+1)))</f>
        <v/>
      </c>
      <c r="I16" s="25">
        <f>IF(A16="","",IFERROR(INDEX(Data_Spells!$H:$H,MATCH(A16,Data_Spells!$A:$A,0))&amp;"",""))</f>
        <v/>
      </c>
      <c r="J16" s="5" t="n"/>
      <c r="K16" s="5" t="n"/>
      <c r="L16" s="5" t="n"/>
      <c r="M16" s="15">
        <f>IF(A16="","",IFERROR(INDEX(Data_Spells!$I:$I,MATCH(A16,Data_Spells!$A:$A,0))&amp;"",""))</f>
        <v/>
      </c>
      <c r="N16">
        <f>IF(A16="","",IF(B16="Petty","P","L"))</f>
        <v/>
      </c>
    </row>
    <row r="17">
      <c r="A17" s="33" t="n"/>
      <c r="B17" s="34">
        <f>IF(A17="","",IFERROR(INDEX(Data_Spells!$C:$C,MATCH(A17,Data_Spells!$A:$A,0))&amp;"",""))</f>
        <v/>
      </c>
      <c r="C17" s="34">
        <f>IF(A17="","",IFERROR(INDEX(Data_Spells!$D:$D,MATCH(A17,Data_Spells!$A:$A,0))&amp;"",""))</f>
        <v/>
      </c>
      <c r="D17" s="34">
        <f>IF(A17="","",IFERROR(INDEX(Data_Spells!$E:$E,MATCH(A17,Data_Spells!$A:$A,0))&amp;"",""))</f>
        <v/>
      </c>
      <c r="E17" s="34">
        <f>IF(A17="","",IFERROR(INDEX(Data_Spells!$F:$F,MATCH(A17,Data_Spells!$A:$A,0))&amp;"",""))</f>
        <v/>
      </c>
      <c r="F17" s="34">
        <f>IF(A17="","",IFERROR(INDEX(Data_Spells!$G:$G,MATCH(A17,Data_Spells!$A:$A,0))&amp;"",""))</f>
        <v/>
      </c>
      <c r="G17" s="11" t="n"/>
      <c r="H17" s="19">
        <f>IF(A17="","",IF(G17="Yes",0,IF(N17="P",50,100)*MIN(5,INT((COUNTIF($N$9:N17,N17)-1)/5)+1)))</f>
        <v/>
      </c>
      <c r="I17" s="25">
        <f>IF(A17="","",IFERROR(INDEX(Data_Spells!$H:$H,MATCH(A17,Data_Spells!$A:$A,0))&amp;"",""))</f>
        <v/>
      </c>
      <c r="J17" s="5" t="n"/>
      <c r="K17" s="5" t="n"/>
      <c r="L17" s="5" t="n"/>
      <c r="M17" s="15">
        <f>IF(A17="","",IFERROR(INDEX(Data_Spells!$I:$I,MATCH(A17,Data_Spells!$A:$A,0))&amp;"",""))</f>
        <v/>
      </c>
      <c r="N17">
        <f>IF(A17="","",IF(B17="Petty","P","L"))</f>
        <v/>
      </c>
    </row>
    <row r="18">
      <c r="A18" s="33" t="n"/>
      <c r="B18" s="34">
        <f>IF(A18="","",IFERROR(INDEX(Data_Spells!$C:$C,MATCH(A18,Data_Spells!$A:$A,0))&amp;"",""))</f>
        <v/>
      </c>
      <c r="C18" s="34">
        <f>IF(A18="","",IFERROR(INDEX(Data_Spells!$D:$D,MATCH(A18,Data_Spells!$A:$A,0))&amp;"",""))</f>
        <v/>
      </c>
      <c r="D18" s="34">
        <f>IF(A18="","",IFERROR(INDEX(Data_Spells!$E:$E,MATCH(A18,Data_Spells!$A:$A,0))&amp;"",""))</f>
        <v/>
      </c>
      <c r="E18" s="34">
        <f>IF(A18="","",IFERROR(INDEX(Data_Spells!$F:$F,MATCH(A18,Data_Spells!$A:$A,0))&amp;"",""))</f>
        <v/>
      </c>
      <c r="F18" s="34">
        <f>IF(A18="","",IFERROR(INDEX(Data_Spells!$G:$G,MATCH(A18,Data_Spells!$A:$A,0))&amp;"",""))</f>
        <v/>
      </c>
      <c r="G18" s="11" t="n"/>
      <c r="H18" s="19">
        <f>IF(A18="","",IF(G18="Yes",0,IF(N18="P",50,100)*MIN(5,INT((COUNTIF($N$9:N18,N18)-1)/5)+1)))</f>
        <v/>
      </c>
      <c r="I18" s="25">
        <f>IF(A18="","",IFERROR(INDEX(Data_Spells!$H:$H,MATCH(A18,Data_Spells!$A:$A,0))&amp;"",""))</f>
        <v/>
      </c>
      <c r="J18" s="5" t="n"/>
      <c r="K18" s="5" t="n"/>
      <c r="L18" s="5" t="n"/>
      <c r="M18" s="15">
        <f>IF(A18="","",IFERROR(INDEX(Data_Spells!$I:$I,MATCH(A18,Data_Spells!$A:$A,0))&amp;"",""))</f>
        <v/>
      </c>
      <c r="N18">
        <f>IF(A18="","",IF(B18="Petty","P","L"))</f>
        <v/>
      </c>
    </row>
    <row r="19">
      <c r="A19" s="33" t="n"/>
      <c r="B19" s="34">
        <f>IF(A19="","",IFERROR(INDEX(Data_Spells!$C:$C,MATCH(A19,Data_Spells!$A:$A,0))&amp;"",""))</f>
        <v/>
      </c>
      <c r="C19" s="34">
        <f>IF(A19="","",IFERROR(INDEX(Data_Spells!$D:$D,MATCH(A19,Data_Spells!$A:$A,0))&amp;"",""))</f>
        <v/>
      </c>
      <c r="D19" s="34">
        <f>IF(A19="","",IFERROR(INDEX(Data_Spells!$E:$E,MATCH(A19,Data_Spells!$A:$A,0))&amp;"",""))</f>
        <v/>
      </c>
      <c r="E19" s="34">
        <f>IF(A19="","",IFERROR(INDEX(Data_Spells!$F:$F,MATCH(A19,Data_Spells!$A:$A,0))&amp;"",""))</f>
        <v/>
      </c>
      <c r="F19" s="34">
        <f>IF(A19="","",IFERROR(INDEX(Data_Spells!$G:$G,MATCH(A19,Data_Spells!$A:$A,0))&amp;"",""))</f>
        <v/>
      </c>
      <c r="G19" s="11" t="n"/>
      <c r="H19" s="19">
        <f>IF(A19="","",IF(G19="Yes",0,IF(N19="P",50,100)*MIN(5,INT((COUNTIF($N$9:N19,N19)-1)/5)+1)))</f>
        <v/>
      </c>
      <c r="I19" s="25">
        <f>IF(A19="","",IFERROR(INDEX(Data_Spells!$H:$H,MATCH(A19,Data_Spells!$A:$A,0))&amp;"",""))</f>
        <v/>
      </c>
      <c r="J19" s="5" t="n"/>
      <c r="K19" s="5" t="n"/>
      <c r="L19" s="5" t="n"/>
      <c r="M19" s="15">
        <f>IF(A19="","",IFERROR(INDEX(Data_Spells!$I:$I,MATCH(A19,Data_Spells!$A:$A,0))&amp;"",""))</f>
        <v/>
      </c>
      <c r="N19">
        <f>IF(A19="","",IF(B19="Petty","P","L"))</f>
        <v/>
      </c>
    </row>
    <row r="20">
      <c r="A20" s="33" t="n"/>
      <c r="B20" s="34">
        <f>IF(A20="","",IFERROR(INDEX(Data_Spells!$C:$C,MATCH(A20,Data_Spells!$A:$A,0))&amp;"",""))</f>
        <v/>
      </c>
      <c r="C20" s="34">
        <f>IF(A20="","",IFERROR(INDEX(Data_Spells!$D:$D,MATCH(A20,Data_Spells!$A:$A,0))&amp;"",""))</f>
        <v/>
      </c>
      <c r="D20" s="34">
        <f>IF(A20="","",IFERROR(INDEX(Data_Spells!$E:$E,MATCH(A20,Data_Spells!$A:$A,0))&amp;"",""))</f>
        <v/>
      </c>
      <c r="E20" s="34">
        <f>IF(A20="","",IFERROR(INDEX(Data_Spells!$F:$F,MATCH(A20,Data_Spells!$A:$A,0))&amp;"",""))</f>
        <v/>
      </c>
      <c r="F20" s="34">
        <f>IF(A20="","",IFERROR(INDEX(Data_Spells!$G:$G,MATCH(A20,Data_Spells!$A:$A,0))&amp;"",""))</f>
        <v/>
      </c>
      <c r="G20" s="11" t="n"/>
      <c r="H20" s="19">
        <f>IF(A20="","",IF(G20="Yes",0,IF(N20="P",50,100)*MIN(5,INT((COUNTIF($N$9:N20,N20)-1)/5)+1)))</f>
        <v/>
      </c>
      <c r="I20" s="25">
        <f>IF(A20="","",IFERROR(INDEX(Data_Spells!$H:$H,MATCH(A20,Data_Spells!$A:$A,0))&amp;"",""))</f>
        <v/>
      </c>
      <c r="J20" s="5" t="n"/>
      <c r="K20" s="5" t="n"/>
      <c r="L20" s="5" t="n"/>
      <c r="M20" s="15">
        <f>IF(A20="","",IFERROR(INDEX(Data_Spells!$I:$I,MATCH(A20,Data_Spells!$A:$A,0))&amp;"",""))</f>
        <v/>
      </c>
      <c r="N20">
        <f>IF(A20="","",IF(B20="Petty","P","L"))</f>
        <v/>
      </c>
    </row>
    <row r="21">
      <c r="A21" s="33" t="n"/>
      <c r="B21" s="34">
        <f>IF(A21="","",IFERROR(INDEX(Data_Spells!$C:$C,MATCH(A21,Data_Spells!$A:$A,0))&amp;"",""))</f>
        <v/>
      </c>
      <c r="C21" s="34">
        <f>IF(A21="","",IFERROR(INDEX(Data_Spells!$D:$D,MATCH(A21,Data_Spells!$A:$A,0))&amp;"",""))</f>
        <v/>
      </c>
      <c r="D21" s="34">
        <f>IF(A21="","",IFERROR(INDEX(Data_Spells!$E:$E,MATCH(A21,Data_Spells!$A:$A,0))&amp;"",""))</f>
        <v/>
      </c>
      <c r="E21" s="34">
        <f>IF(A21="","",IFERROR(INDEX(Data_Spells!$F:$F,MATCH(A21,Data_Spells!$A:$A,0))&amp;"",""))</f>
        <v/>
      </c>
      <c r="F21" s="34">
        <f>IF(A21="","",IFERROR(INDEX(Data_Spells!$G:$G,MATCH(A21,Data_Spells!$A:$A,0))&amp;"",""))</f>
        <v/>
      </c>
      <c r="G21" s="11" t="n"/>
      <c r="H21" s="19">
        <f>IF(A21="","",IF(G21="Yes",0,IF(N21="P",50,100)*MIN(5,INT((COUNTIF($N$9:N21,N21)-1)/5)+1)))</f>
        <v/>
      </c>
      <c r="I21" s="25">
        <f>IF(A21="","",IFERROR(INDEX(Data_Spells!$H:$H,MATCH(A21,Data_Spells!$A:$A,0))&amp;"",""))</f>
        <v/>
      </c>
      <c r="J21" s="5" t="n"/>
      <c r="K21" s="5" t="n"/>
      <c r="L21" s="5" t="n"/>
      <c r="M21" s="15">
        <f>IF(A21="","",IFERROR(INDEX(Data_Spells!$I:$I,MATCH(A21,Data_Spells!$A:$A,0))&amp;"",""))</f>
        <v/>
      </c>
      <c r="N21">
        <f>IF(A21="","",IF(B21="Petty","P","L"))</f>
        <v/>
      </c>
    </row>
    <row r="22">
      <c r="A22" s="33" t="n"/>
      <c r="B22" s="34">
        <f>IF(A22="","",IFERROR(INDEX(Data_Spells!$C:$C,MATCH(A22,Data_Spells!$A:$A,0))&amp;"",""))</f>
        <v/>
      </c>
      <c r="C22" s="34">
        <f>IF(A22="","",IFERROR(INDEX(Data_Spells!$D:$D,MATCH(A22,Data_Spells!$A:$A,0))&amp;"",""))</f>
        <v/>
      </c>
      <c r="D22" s="34">
        <f>IF(A22="","",IFERROR(INDEX(Data_Spells!$E:$E,MATCH(A22,Data_Spells!$A:$A,0))&amp;"",""))</f>
        <v/>
      </c>
      <c r="E22" s="34">
        <f>IF(A22="","",IFERROR(INDEX(Data_Spells!$F:$F,MATCH(A22,Data_Spells!$A:$A,0))&amp;"",""))</f>
        <v/>
      </c>
      <c r="F22" s="34">
        <f>IF(A22="","",IFERROR(INDEX(Data_Spells!$G:$G,MATCH(A22,Data_Spells!$A:$A,0))&amp;"",""))</f>
        <v/>
      </c>
      <c r="G22" s="11" t="n"/>
      <c r="H22" s="19">
        <f>IF(A22="","",IF(G22="Yes",0,IF(N22="P",50,100)*MIN(5,INT((COUNTIF($N$9:N22,N22)-1)/5)+1)))</f>
        <v/>
      </c>
      <c r="I22" s="25">
        <f>IF(A22="","",IFERROR(INDEX(Data_Spells!$H:$H,MATCH(A22,Data_Spells!$A:$A,0))&amp;"",""))</f>
        <v/>
      </c>
      <c r="J22" s="5" t="n"/>
      <c r="K22" s="5" t="n"/>
      <c r="L22" s="5" t="n"/>
      <c r="M22" s="15">
        <f>IF(A22="","",IFERROR(INDEX(Data_Spells!$I:$I,MATCH(A22,Data_Spells!$A:$A,0))&amp;"",""))</f>
        <v/>
      </c>
      <c r="N22">
        <f>IF(A22="","",IF(B22="Petty","P","L"))</f>
        <v/>
      </c>
    </row>
    <row r="23">
      <c r="A23" s="33" t="n"/>
      <c r="B23" s="34">
        <f>IF(A23="","",IFERROR(INDEX(Data_Spells!$C:$C,MATCH(A23,Data_Spells!$A:$A,0))&amp;"",""))</f>
        <v/>
      </c>
      <c r="C23" s="34">
        <f>IF(A23="","",IFERROR(INDEX(Data_Spells!$D:$D,MATCH(A23,Data_Spells!$A:$A,0))&amp;"",""))</f>
        <v/>
      </c>
      <c r="D23" s="34">
        <f>IF(A23="","",IFERROR(INDEX(Data_Spells!$E:$E,MATCH(A23,Data_Spells!$A:$A,0))&amp;"",""))</f>
        <v/>
      </c>
      <c r="E23" s="34">
        <f>IF(A23="","",IFERROR(INDEX(Data_Spells!$F:$F,MATCH(A23,Data_Spells!$A:$A,0))&amp;"",""))</f>
        <v/>
      </c>
      <c r="F23" s="34">
        <f>IF(A23="","",IFERROR(INDEX(Data_Spells!$G:$G,MATCH(A23,Data_Spells!$A:$A,0))&amp;"",""))</f>
        <v/>
      </c>
      <c r="G23" s="11" t="n"/>
      <c r="H23" s="19">
        <f>IF(A23="","",IF(G23="Yes",0,IF(N23="P",50,100)*MIN(5,INT((COUNTIF($N$9:N23,N23)-1)/5)+1)))</f>
        <v/>
      </c>
      <c r="I23" s="25">
        <f>IF(A23="","",IFERROR(INDEX(Data_Spells!$H:$H,MATCH(A23,Data_Spells!$A:$A,0))&amp;"",""))</f>
        <v/>
      </c>
      <c r="J23" s="5" t="n"/>
      <c r="K23" s="5" t="n"/>
      <c r="L23" s="5" t="n"/>
      <c r="M23" s="15">
        <f>IF(A23="","",IFERROR(INDEX(Data_Spells!$I:$I,MATCH(A23,Data_Spells!$A:$A,0))&amp;"",""))</f>
        <v/>
      </c>
      <c r="N23">
        <f>IF(A23="","",IF(B23="Petty","P","L"))</f>
        <v/>
      </c>
    </row>
    <row r="24">
      <c r="A24" s="33" t="n"/>
      <c r="B24" s="34">
        <f>IF(A24="","",IFERROR(INDEX(Data_Spells!$C:$C,MATCH(A24,Data_Spells!$A:$A,0))&amp;"",""))</f>
        <v/>
      </c>
      <c r="C24" s="34">
        <f>IF(A24="","",IFERROR(INDEX(Data_Spells!$D:$D,MATCH(A24,Data_Spells!$A:$A,0))&amp;"",""))</f>
        <v/>
      </c>
      <c r="D24" s="34">
        <f>IF(A24="","",IFERROR(INDEX(Data_Spells!$E:$E,MATCH(A24,Data_Spells!$A:$A,0))&amp;"",""))</f>
        <v/>
      </c>
      <c r="E24" s="34">
        <f>IF(A24="","",IFERROR(INDEX(Data_Spells!$F:$F,MATCH(A24,Data_Spells!$A:$A,0))&amp;"",""))</f>
        <v/>
      </c>
      <c r="F24" s="34">
        <f>IF(A24="","",IFERROR(INDEX(Data_Spells!$G:$G,MATCH(A24,Data_Spells!$A:$A,0))&amp;"",""))</f>
        <v/>
      </c>
      <c r="G24" s="11" t="n"/>
      <c r="H24" s="19">
        <f>IF(A24="","",IF(G24="Yes",0,IF(N24="P",50,100)*MIN(5,INT((COUNTIF($N$9:N24,N24)-1)/5)+1)))</f>
        <v/>
      </c>
      <c r="I24" s="25">
        <f>IF(A24="","",IFERROR(INDEX(Data_Spells!$H:$H,MATCH(A24,Data_Spells!$A:$A,0))&amp;"",""))</f>
        <v/>
      </c>
      <c r="J24" s="5" t="n"/>
      <c r="K24" s="5" t="n"/>
      <c r="L24" s="5" t="n"/>
      <c r="M24" s="15">
        <f>IF(A24="","",IFERROR(INDEX(Data_Spells!$I:$I,MATCH(A24,Data_Spells!$A:$A,0))&amp;"",""))</f>
        <v/>
      </c>
      <c r="N24">
        <f>IF(A24="","",IF(B24="Petty","P","L"))</f>
        <v/>
      </c>
    </row>
    <row r="25">
      <c r="A25" s="33" t="n"/>
      <c r="B25" s="34">
        <f>IF(A25="","",IFERROR(INDEX(Data_Spells!$C:$C,MATCH(A25,Data_Spells!$A:$A,0))&amp;"",""))</f>
        <v/>
      </c>
      <c r="C25" s="34">
        <f>IF(A25="","",IFERROR(INDEX(Data_Spells!$D:$D,MATCH(A25,Data_Spells!$A:$A,0))&amp;"",""))</f>
        <v/>
      </c>
      <c r="D25" s="34">
        <f>IF(A25="","",IFERROR(INDEX(Data_Spells!$E:$E,MATCH(A25,Data_Spells!$A:$A,0))&amp;"",""))</f>
        <v/>
      </c>
      <c r="E25" s="34">
        <f>IF(A25="","",IFERROR(INDEX(Data_Spells!$F:$F,MATCH(A25,Data_Spells!$A:$A,0))&amp;"",""))</f>
        <v/>
      </c>
      <c r="F25" s="34">
        <f>IF(A25="","",IFERROR(INDEX(Data_Spells!$G:$G,MATCH(A25,Data_Spells!$A:$A,0))&amp;"",""))</f>
        <v/>
      </c>
      <c r="G25" s="11" t="n"/>
      <c r="H25" s="19">
        <f>IF(A25="","",IF(G25="Yes",0,IF(N25="P",50,100)*MIN(5,INT((COUNTIF($N$9:N25,N25)-1)/5)+1)))</f>
        <v/>
      </c>
      <c r="I25" s="25">
        <f>IF(A25="","",IFERROR(INDEX(Data_Spells!$H:$H,MATCH(A25,Data_Spells!$A:$A,0))&amp;"",""))</f>
        <v/>
      </c>
      <c r="J25" s="5" t="n"/>
      <c r="K25" s="5" t="n"/>
      <c r="L25" s="5" t="n"/>
      <c r="M25" s="15">
        <f>IF(A25="","",IFERROR(INDEX(Data_Spells!$I:$I,MATCH(A25,Data_Spells!$A:$A,0))&amp;"",""))</f>
        <v/>
      </c>
      <c r="N25">
        <f>IF(A25="","",IF(B25="Petty","P","L"))</f>
        <v/>
      </c>
    </row>
    <row r="26">
      <c r="A26" s="33" t="n"/>
      <c r="B26" s="34">
        <f>IF(A26="","",IFERROR(INDEX(Data_Spells!$C:$C,MATCH(A26,Data_Spells!$A:$A,0))&amp;"",""))</f>
        <v/>
      </c>
      <c r="C26" s="34">
        <f>IF(A26="","",IFERROR(INDEX(Data_Spells!$D:$D,MATCH(A26,Data_Spells!$A:$A,0))&amp;"",""))</f>
        <v/>
      </c>
      <c r="D26" s="34">
        <f>IF(A26="","",IFERROR(INDEX(Data_Spells!$E:$E,MATCH(A26,Data_Spells!$A:$A,0))&amp;"",""))</f>
        <v/>
      </c>
      <c r="E26" s="34">
        <f>IF(A26="","",IFERROR(INDEX(Data_Spells!$F:$F,MATCH(A26,Data_Spells!$A:$A,0))&amp;"",""))</f>
        <v/>
      </c>
      <c r="F26" s="34">
        <f>IF(A26="","",IFERROR(INDEX(Data_Spells!$G:$G,MATCH(A26,Data_Spells!$A:$A,0))&amp;"",""))</f>
        <v/>
      </c>
      <c r="G26" s="11" t="n"/>
      <c r="H26" s="19">
        <f>IF(A26="","",IF(G26="Yes",0,IF(N26="P",50,100)*MIN(5,INT((COUNTIF($N$9:N26,N26)-1)/5)+1)))</f>
        <v/>
      </c>
      <c r="I26" s="25">
        <f>IF(A26="","",IFERROR(INDEX(Data_Spells!$H:$H,MATCH(A26,Data_Spells!$A:$A,0))&amp;"",""))</f>
        <v/>
      </c>
      <c r="J26" s="5" t="n"/>
      <c r="K26" s="5" t="n"/>
      <c r="L26" s="5" t="n"/>
      <c r="M26" s="15">
        <f>IF(A26="","",IFERROR(INDEX(Data_Spells!$I:$I,MATCH(A26,Data_Spells!$A:$A,0))&amp;"",""))</f>
        <v/>
      </c>
      <c r="N26">
        <f>IF(A26="","",IF(B26="Petty","P","L"))</f>
        <v/>
      </c>
    </row>
    <row r="27">
      <c r="A27" s="33" t="n"/>
      <c r="B27" s="34">
        <f>IF(A27="","",IFERROR(INDEX(Data_Spells!$C:$C,MATCH(A27,Data_Spells!$A:$A,0))&amp;"",""))</f>
        <v/>
      </c>
      <c r="C27" s="34">
        <f>IF(A27="","",IFERROR(INDEX(Data_Spells!$D:$D,MATCH(A27,Data_Spells!$A:$A,0))&amp;"",""))</f>
        <v/>
      </c>
      <c r="D27" s="34">
        <f>IF(A27="","",IFERROR(INDEX(Data_Spells!$E:$E,MATCH(A27,Data_Spells!$A:$A,0))&amp;"",""))</f>
        <v/>
      </c>
      <c r="E27" s="34">
        <f>IF(A27="","",IFERROR(INDEX(Data_Spells!$F:$F,MATCH(A27,Data_Spells!$A:$A,0))&amp;"",""))</f>
        <v/>
      </c>
      <c r="F27" s="34">
        <f>IF(A27="","",IFERROR(INDEX(Data_Spells!$G:$G,MATCH(A27,Data_Spells!$A:$A,0))&amp;"",""))</f>
        <v/>
      </c>
      <c r="G27" s="11" t="n"/>
      <c r="H27" s="19">
        <f>IF(A27="","",IF(G27="Yes",0,IF(N27="P",50,100)*MIN(5,INT((COUNTIF($N$9:N27,N27)-1)/5)+1)))</f>
        <v/>
      </c>
      <c r="I27" s="25">
        <f>IF(A27="","",IFERROR(INDEX(Data_Spells!$H:$H,MATCH(A27,Data_Spells!$A:$A,0))&amp;"",""))</f>
        <v/>
      </c>
      <c r="J27" s="5" t="n"/>
      <c r="K27" s="5" t="n"/>
      <c r="L27" s="5" t="n"/>
      <c r="M27" s="15">
        <f>IF(A27="","",IFERROR(INDEX(Data_Spells!$I:$I,MATCH(A27,Data_Spells!$A:$A,0))&amp;"",""))</f>
        <v/>
      </c>
      <c r="N27">
        <f>IF(A27="","",IF(B27="Petty","P","L"))</f>
        <v/>
      </c>
    </row>
    <row r="28">
      <c r="A28" s="33" t="n"/>
      <c r="B28" s="34">
        <f>IF(A28="","",IFERROR(INDEX(Data_Spells!$C:$C,MATCH(A28,Data_Spells!$A:$A,0))&amp;"",""))</f>
        <v/>
      </c>
      <c r="C28" s="34">
        <f>IF(A28="","",IFERROR(INDEX(Data_Spells!$D:$D,MATCH(A28,Data_Spells!$A:$A,0))&amp;"",""))</f>
        <v/>
      </c>
      <c r="D28" s="34">
        <f>IF(A28="","",IFERROR(INDEX(Data_Spells!$E:$E,MATCH(A28,Data_Spells!$A:$A,0))&amp;"",""))</f>
        <v/>
      </c>
      <c r="E28" s="34">
        <f>IF(A28="","",IFERROR(INDEX(Data_Spells!$F:$F,MATCH(A28,Data_Spells!$A:$A,0))&amp;"",""))</f>
        <v/>
      </c>
      <c r="F28" s="34">
        <f>IF(A28="","",IFERROR(INDEX(Data_Spells!$G:$G,MATCH(A28,Data_Spells!$A:$A,0))&amp;"",""))</f>
        <v/>
      </c>
      <c r="G28" s="11" t="n"/>
      <c r="H28" s="19">
        <f>IF(A28="","",IF(G28="Yes",0,IF(N28="P",50,100)*MIN(5,INT((COUNTIF($N$9:N28,N28)-1)/5)+1)))</f>
        <v/>
      </c>
      <c r="I28" s="25">
        <f>IF(A28="","",IFERROR(INDEX(Data_Spells!$H:$H,MATCH(A28,Data_Spells!$A:$A,0))&amp;"",""))</f>
        <v/>
      </c>
      <c r="J28" s="5" t="n"/>
      <c r="K28" s="5" t="n"/>
      <c r="L28" s="5" t="n"/>
      <c r="M28" s="15">
        <f>IF(A28="","",IFERROR(INDEX(Data_Spells!$I:$I,MATCH(A28,Data_Spells!$A:$A,0))&amp;"",""))</f>
        <v/>
      </c>
      <c r="N28">
        <f>IF(A28="","",IF(B28="Petty","P","L"))</f>
        <v/>
      </c>
    </row>
    <row r="29">
      <c r="A29" s="33" t="n"/>
      <c r="B29" s="34">
        <f>IF(A29="","",IFERROR(INDEX(Data_Spells!$C:$C,MATCH(A29,Data_Spells!$A:$A,0))&amp;"",""))</f>
        <v/>
      </c>
      <c r="C29" s="34">
        <f>IF(A29="","",IFERROR(INDEX(Data_Spells!$D:$D,MATCH(A29,Data_Spells!$A:$A,0))&amp;"",""))</f>
        <v/>
      </c>
      <c r="D29" s="34">
        <f>IF(A29="","",IFERROR(INDEX(Data_Spells!$E:$E,MATCH(A29,Data_Spells!$A:$A,0))&amp;"",""))</f>
        <v/>
      </c>
      <c r="E29" s="34">
        <f>IF(A29="","",IFERROR(INDEX(Data_Spells!$F:$F,MATCH(A29,Data_Spells!$A:$A,0))&amp;"",""))</f>
        <v/>
      </c>
      <c r="F29" s="34">
        <f>IF(A29="","",IFERROR(INDEX(Data_Spells!$G:$G,MATCH(A29,Data_Spells!$A:$A,0))&amp;"",""))</f>
        <v/>
      </c>
      <c r="G29" s="11" t="n"/>
      <c r="H29" s="19">
        <f>IF(A29="","",IF(G29="Yes",0,IF(N29="P",50,100)*MIN(5,INT((COUNTIF($N$9:N29,N29)-1)/5)+1)))</f>
        <v/>
      </c>
      <c r="I29" s="25">
        <f>IF(A29="","",IFERROR(INDEX(Data_Spells!$H:$H,MATCH(A29,Data_Spells!$A:$A,0))&amp;"",""))</f>
        <v/>
      </c>
      <c r="J29" s="5" t="n"/>
      <c r="K29" s="5" t="n"/>
      <c r="L29" s="5" t="n"/>
      <c r="M29" s="15">
        <f>IF(A29="","",IFERROR(INDEX(Data_Spells!$I:$I,MATCH(A29,Data_Spells!$A:$A,0))&amp;"",""))</f>
        <v/>
      </c>
      <c r="N29">
        <f>IF(A29="","",IF(B29="Petty","P","L"))</f>
        <v/>
      </c>
    </row>
    <row r="30">
      <c r="A30" s="33" t="n"/>
      <c r="B30" s="34">
        <f>IF(A30="","",IFERROR(INDEX(Data_Spells!$C:$C,MATCH(A30,Data_Spells!$A:$A,0))&amp;"",""))</f>
        <v/>
      </c>
      <c r="C30" s="34">
        <f>IF(A30="","",IFERROR(INDEX(Data_Spells!$D:$D,MATCH(A30,Data_Spells!$A:$A,0))&amp;"",""))</f>
        <v/>
      </c>
      <c r="D30" s="34">
        <f>IF(A30="","",IFERROR(INDEX(Data_Spells!$E:$E,MATCH(A30,Data_Spells!$A:$A,0))&amp;"",""))</f>
        <v/>
      </c>
      <c r="E30" s="34">
        <f>IF(A30="","",IFERROR(INDEX(Data_Spells!$F:$F,MATCH(A30,Data_Spells!$A:$A,0))&amp;"",""))</f>
        <v/>
      </c>
      <c r="F30" s="34">
        <f>IF(A30="","",IFERROR(INDEX(Data_Spells!$G:$G,MATCH(A30,Data_Spells!$A:$A,0))&amp;"",""))</f>
        <v/>
      </c>
      <c r="G30" s="11" t="n"/>
      <c r="H30" s="19">
        <f>IF(A30="","",IF(G30="Yes",0,IF(N30="P",50,100)*MIN(5,INT((COUNTIF($N$9:N30,N30)-1)/5)+1)))</f>
        <v/>
      </c>
      <c r="I30" s="25">
        <f>IF(A30="","",IFERROR(INDEX(Data_Spells!$H:$H,MATCH(A30,Data_Spells!$A:$A,0))&amp;"",""))</f>
        <v/>
      </c>
      <c r="J30" s="5" t="n"/>
      <c r="K30" s="5" t="n"/>
      <c r="L30" s="5" t="n"/>
      <c r="M30" s="15">
        <f>IF(A30="","",IFERROR(INDEX(Data_Spells!$I:$I,MATCH(A30,Data_Spells!$A:$A,0))&amp;"",""))</f>
        <v/>
      </c>
      <c r="N30">
        <f>IF(A30="","",IF(B30="Petty","P","L"))</f>
        <v/>
      </c>
    </row>
    <row r="31">
      <c r="A31" s="33" t="n"/>
      <c r="B31" s="34">
        <f>IF(A31="","",IFERROR(INDEX(Data_Spells!$C:$C,MATCH(A31,Data_Spells!$A:$A,0))&amp;"",""))</f>
        <v/>
      </c>
      <c r="C31" s="34">
        <f>IF(A31="","",IFERROR(INDEX(Data_Spells!$D:$D,MATCH(A31,Data_Spells!$A:$A,0))&amp;"",""))</f>
        <v/>
      </c>
      <c r="D31" s="34">
        <f>IF(A31="","",IFERROR(INDEX(Data_Spells!$E:$E,MATCH(A31,Data_Spells!$A:$A,0))&amp;"",""))</f>
        <v/>
      </c>
      <c r="E31" s="34">
        <f>IF(A31="","",IFERROR(INDEX(Data_Spells!$F:$F,MATCH(A31,Data_Spells!$A:$A,0))&amp;"",""))</f>
        <v/>
      </c>
      <c r="F31" s="34">
        <f>IF(A31="","",IFERROR(INDEX(Data_Spells!$G:$G,MATCH(A31,Data_Spells!$A:$A,0))&amp;"",""))</f>
        <v/>
      </c>
      <c r="G31" s="11" t="n"/>
      <c r="H31" s="19">
        <f>IF(A31="","",IF(G31="Yes",0,IF(N31="P",50,100)*MIN(5,INT((COUNTIF($N$9:N31,N31)-1)/5)+1)))</f>
        <v/>
      </c>
      <c r="I31" s="25">
        <f>IF(A31="","",IFERROR(INDEX(Data_Spells!$H:$H,MATCH(A31,Data_Spells!$A:$A,0))&amp;"",""))</f>
        <v/>
      </c>
      <c r="J31" s="5" t="n"/>
      <c r="K31" s="5" t="n"/>
      <c r="L31" s="5" t="n"/>
      <c r="M31" s="15">
        <f>IF(A31="","",IFERROR(INDEX(Data_Spells!$I:$I,MATCH(A31,Data_Spells!$A:$A,0))&amp;"",""))</f>
        <v/>
      </c>
      <c r="N31">
        <f>IF(A31="","",IF(B31="Petty","P","L"))</f>
        <v/>
      </c>
    </row>
    <row r="32">
      <c r="A32" s="33" t="n"/>
      <c r="B32" s="34">
        <f>IF(A32="","",IFERROR(INDEX(Data_Spells!$C:$C,MATCH(A32,Data_Spells!$A:$A,0))&amp;"",""))</f>
        <v/>
      </c>
      <c r="C32" s="34">
        <f>IF(A32="","",IFERROR(INDEX(Data_Spells!$D:$D,MATCH(A32,Data_Spells!$A:$A,0))&amp;"",""))</f>
        <v/>
      </c>
      <c r="D32" s="34">
        <f>IF(A32="","",IFERROR(INDEX(Data_Spells!$E:$E,MATCH(A32,Data_Spells!$A:$A,0))&amp;"",""))</f>
        <v/>
      </c>
      <c r="E32" s="34">
        <f>IF(A32="","",IFERROR(INDEX(Data_Spells!$F:$F,MATCH(A32,Data_Spells!$A:$A,0))&amp;"",""))</f>
        <v/>
      </c>
      <c r="F32" s="34">
        <f>IF(A32="","",IFERROR(INDEX(Data_Spells!$G:$G,MATCH(A32,Data_Spells!$A:$A,0))&amp;"",""))</f>
        <v/>
      </c>
      <c r="G32" s="11" t="n"/>
      <c r="H32" s="19">
        <f>IF(A32="","",IF(G32="Yes",0,IF(N32="P",50,100)*MIN(5,INT((COUNTIF($N$9:N32,N32)-1)/5)+1)))</f>
        <v/>
      </c>
      <c r="I32" s="25">
        <f>IF(A32="","",IFERROR(INDEX(Data_Spells!$H:$H,MATCH(A32,Data_Spells!$A:$A,0))&amp;"",""))</f>
        <v/>
      </c>
      <c r="J32" s="5" t="n"/>
      <c r="K32" s="5" t="n"/>
      <c r="L32" s="5" t="n"/>
      <c r="M32" s="15">
        <f>IF(A32="","",IFERROR(INDEX(Data_Spells!$I:$I,MATCH(A32,Data_Spells!$A:$A,0))&amp;"",""))</f>
        <v/>
      </c>
      <c r="N32">
        <f>IF(A32="","",IF(B32="Petty","P","L"))</f>
        <v/>
      </c>
    </row>
    <row r="33">
      <c r="A33" s="33" t="n"/>
      <c r="B33" s="34">
        <f>IF(A33="","",IFERROR(INDEX(Data_Spells!$C:$C,MATCH(A33,Data_Spells!$A:$A,0))&amp;"",""))</f>
        <v/>
      </c>
      <c r="C33" s="34">
        <f>IF(A33="","",IFERROR(INDEX(Data_Spells!$D:$D,MATCH(A33,Data_Spells!$A:$A,0))&amp;"",""))</f>
        <v/>
      </c>
      <c r="D33" s="34">
        <f>IF(A33="","",IFERROR(INDEX(Data_Spells!$E:$E,MATCH(A33,Data_Spells!$A:$A,0))&amp;"",""))</f>
        <v/>
      </c>
      <c r="E33" s="34">
        <f>IF(A33="","",IFERROR(INDEX(Data_Spells!$F:$F,MATCH(A33,Data_Spells!$A:$A,0))&amp;"",""))</f>
        <v/>
      </c>
      <c r="F33" s="34">
        <f>IF(A33="","",IFERROR(INDEX(Data_Spells!$G:$G,MATCH(A33,Data_Spells!$A:$A,0))&amp;"",""))</f>
        <v/>
      </c>
      <c r="G33" s="11" t="n"/>
      <c r="H33" s="19">
        <f>IF(A33="","",IF(G33="Yes",0,IF(N33="P",50,100)*MIN(5,INT((COUNTIF($N$9:N33,N33)-1)/5)+1)))</f>
        <v/>
      </c>
      <c r="I33" s="25">
        <f>IF(A33="","",IFERROR(INDEX(Data_Spells!$H:$H,MATCH(A33,Data_Spells!$A:$A,0))&amp;"",""))</f>
        <v/>
      </c>
      <c r="J33" s="5" t="n"/>
      <c r="K33" s="5" t="n"/>
      <c r="L33" s="5" t="n"/>
      <c r="M33" s="15">
        <f>IF(A33="","",IFERROR(INDEX(Data_Spells!$I:$I,MATCH(A33,Data_Spells!$A:$A,0))&amp;"",""))</f>
        <v/>
      </c>
      <c r="N33">
        <f>IF(A33="","",IF(B33="Petty","P","L"))</f>
        <v/>
      </c>
    </row>
    <row r="34">
      <c r="A34" s="33" t="n"/>
      <c r="B34" s="34">
        <f>IF(A34="","",IFERROR(INDEX(Data_Spells!$C:$C,MATCH(A34,Data_Spells!$A:$A,0))&amp;"",""))</f>
        <v/>
      </c>
      <c r="C34" s="34">
        <f>IF(A34="","",IFERROR(INDEX(Data_Spells!$D:$D,MATCH(A34,Data_Spells!$A:$A,0))&amp;"",""))</f>
        <v/>
      </c>
      <c r="D34" s="34">
        <f>IF(A34="","",IFERROR(INDEX(Data_Spells!$E:$E,MATCH(A34,Data_Spells!$A:$A,0))&amp;"",""))</f>
        <v/>
      </c>
      <c r="E34" s="34">
        <f>IF(A34="","",IFERROR(INDEX(Data_Spells!$F:$F,MATCH(A34,Data_Spells!$A:$A,0))&amp;"",""))</f>
        <v/>
      </c>
      <c r="F34" s="34">
        <f>IF(A34="","",IFERROR(INDEX(Data_Spells!$G:$G,MATCH(A34,Data_Spells!$A:$A,0))&amp;"",""))</f>
        <v/>
      </c>
      <c r="G34" s="11" t="n"/>
      <c r="H34" s="19">
        <f>IF(A34="","",IF(G34="Yes",0,IF(N34="P",50,100)*MIN(5,INT((COUNTIF($N$9:N34,N34)-1)/5)+1)))</f>
        <v/>
      </c>
      <c r="I34" s="25">
        <f>IF(A34="","",IFERROR(INDEX(Data_Spells!$H:$H,MATCH(A34,Data_Spells!$A:$A,0))&amp;"",""))</f>
        <v/>
      </c>
      <c r="J34" s="5" t="n"/>
      <c r="K34" s="5" t="n"/>
      <c r="L34" s="5" t="n"/>
      <c r="M34" s="15">
        <f>IF(A34="","",IFERROR(INDEX(Data_Spells!$I:$I,MATCH(A34,Data_Spells!$A:$A,0))&amp;"",""))</f>
        <v/>
      </c>
      <c r="N34">
        <f>IF(A34="","",IF(B34="Petty","P","L"))</f>
        <v/>
      </c>
    </row>
    <row r="35">
      <c r="A35" s="33" t="n"/>
      <c r="B35" s="34">
        <f>IF(A35="","",IFERROR(INDEX(Data_Spells!$C:$C,MATCH(A35,Data_Spells!$A:$A,0))&amp;"",""))</f>
        <v/>
      </c>
      <c r="C35" s="34">
        <f>IF(A35="","",IFERROR(INDEX(Data_Spells!$D:$D,MATCH(A35,Data_Spells!$A:$A,0))&amp;"",""))</f>
        <v/>
      </c>
      <c r="D35" s="34">
        <f>IF(A35="","",IFERROR(INDEX(Data_Spells!$E:$E,MATCH(A35,Data_Spells!$A:$A,0))&amp;"",""))</f>
        <v/>
      </c>
      <c r="E35" s="34">
        <f>IF(A35="","",IFERROR(INDEX(Data_Spells!$F:$F,MATCH(A35,Data_Spells!$A:$A,0))&amp;"",""))</f>
        <v/>
      </c>
      <c r="F35" s="34">
        <f>IF(A35="","",IFERROR(INDEX(Data_Spells!$G:$G,MATCH(A35,Data_Spells!$A:$A,0))&amp;"",""))</f>
        <v/>
      </c>
      <c r="G35" s="11" t="n"/>
      <c r="H35" s="19">
        <f>IF(A35="","",IF(G35="Yes",0,IF(N35="P",50,100)*MIN(5,INT((COUNTIF($N$9:N35,N35)-1)/5)+1)))</f>
        <v/>
      </c>
      <c r="I35" s="25">
        <f>IF(A35="","",IFERROR(INDEX(Data_Spells!$H:$H,MATCH(A35,Data_Spells!$A:$A,0))&amp;"",""))</f>
        <v/>
      </c>
      <c r="J35" s="5" t="n"/>
      <c r="K35" s="5" t="n"/>
      <c r="L35" s="5" t="n"/>
      <c r="M35" s="15">
        <f>IF(A35="","",IFERROR(INDEX(Data_Spells!$I:$I,MATCH(A35,Data_Spells!$A:$A,0))&amp;"",""))</f>
        <v/>
      </c>
      <c r="N35">
        <f>IF(A35="","",IF(B35="Petty","P","L"))</f>
        <v/>
      </c>
    </row>
    <row r="36">
      <c r="A36" s="33" t="n"/>
      <c r="B36" s="34">
        <f>IF(A36="","",IFERROR(INDEX(Data_Spells!$C:$C,MATCH(A36,Data_Spells!$A:$A,0))&amp;"",""))</f>
        <v/>
      </c>
      <c r="C36" s="34">
        <f>IF(A36="","",IFERROR(INDEX(Data_Spells!$D:$D,MATCH(A36,Data_Spells!$A:$A,0))&amp;"",""))</f>
        <v/>
      </c>
      <c r="D36" s="34">
        <f>IF(A36="","",IFERROR(INDEX(Data_Spells!$E:$E,MATCH(A36,Data_Spells!$A:$A,0))&amp;"",""))</f>
        <v/>
      </c>
      <c r="E36" s="34">
        <f>IF(A36="","",IFERROR(INDEX(Data_Spells!$F:$F,MATCH(A36,Data_Spells!$A:$A,0))&amp;"",""))</f>
        <v/>
      </c>
      <c r="F36" s="34">
        <f>IF(A36="","",IFERROR(INDEX(Data_Spells!$G:$G,MATCH(A36,Data_Spells!$A:$A,0))&amp;"",""))</f>
        <v/>
      </c>
      <c r="G36" s="11" t="n"/>
      <c r="H36" s="19">
        <f>IF(A36="","",IF(G36="Yes",0,IF(N36="P",50,100)*MIN(5,INT((COUNTIF($N$9:N36,N36)-1)/5)+1)))</f>
        <v/>
      </c>
      <c r="I36" s="25">
        <f>IF(A36="","",IFERROR(INDEX(Data_Spells!$H:$H,MATCH(A36,Data_Spells!$A:$A,0))&amp;"",""))</f>
        <v/>
      </c>
      <c r="J36" s="5" t="n"/>
      <c r="K36" s="5" t="n"/>
      <c r="L36" s="5" t="n"/>
      <c r="M36" s="15">
        <f>IF(A36="","",IFERROR(INDEX(Data_Spells!$I:$I,MATCH(A36,Data_Spells!$A:$A,0))&amp;"",""))</f>
        <v/>
      </c>
      <c r="N36">
        <f>IF(A36="","",IF(B36="Petty","P","L"))</f>
        <v/>
      </c>
    </row>
    <row r="37">
      <c r="A37" s="33" t="n"/>
      <c r="B37" s="34">
        <f>IF(A37="","",IFERROR(INDEX(Data_Spells!$C:$C,MATCH(A37,Data_Spells!$A:$A,0))&amp;"",""))</f>
        <v/>
      </c>
      <c r="C37" s="34">
        <f>IF(A37="","",IFERROR(INDEX(Data_Spells!$D:$D,MATCH(A37,Data_Spells!$A:$A,0))&amp;"",""))</f>
        <v/>
      </c>
      <c r="D37" s="34">
        <f>IF(A37="","",IFERROR(INDEX(Data_Spells!$E:$E,MATCH(A37,Data_Spells!$A:$A,0))&amp;"",""))</f>
        <v/>
      </c>
      <c r="E37" s="34">
        <f>IF(A37="","",IFERROR(INDEX(Data_Spells!$F:$F,MATCH(A37,Data_Spells!$A:$A,0))&amp;"",""))</f>
        <v/>
      </c>
      <c r="F37" s="34">
        <f>IF(A37="","",IFERROR(INDEX(Data_Spells!$G:$G,MATCH(A37,Data_Spells!$A:$A,0))&amp;"",""))</f>
        <v/>
      </c>
      <c r="G37" s="11" t="n"/>
      <c r="H37" s="19">
        <f>IF(A37="","",IF(G37="Yes",0,IF(N37="P",50,100)*MIN(5,INT((COUNTIF($N$9:N37,N37)-1)/5)+1)))</f>
        <v/>
      </c>
      <c r="I37" s="25">
        <f>IF(A37="","",IFERROR(INDEX(Data_Spells!$H:$H,MATCH(A37,Data_Spells!$A:$A,0))&amp;"",""))</f>
        <v/>
      </c>
      <c r="J37" s="5" t="n"/>
      <c r="K37" s="5" t="n"/>
      <c r="L37" s="5" t="n"/>
      <c r="M37" s="15">
        <f>IF(A37="","",IFERROR(INDEX(Data_Spells!$I:$I,MATCH(A37,Data_Spells!$A:$A,0))&amp;"",""))</f>
        <v/>
      </c>
      <c r="N37">
        <f>IF(A37="","",IF(B37="Petty","P","L"))</f>
        <v/>
      </c>
    </row>
    <row r="38">
      <c r="A38" s="33" t="n"/>
      <c r="B38" s="34">
        <f>IF(A38="","",IFERROR(INDEX(Data_Spells!$C:$C,MATCH(A38,Data_Spells!$A:$A,0))&amp;"",""))</f>
        <v/>
      </c>
      <c r="C38" s="34">
        <f>IF(A38="","",IFERROR(INDEX(Data_Spells!$D:$D,MATCH(A38,Data_Spells!$A:$A,0))&amp;"",""))</f>
        <v/>
      </c>
      <c r="D38" s="34">
        <f>IF(A38="","",IFERROR(INDEX(Data_Spells!$E:$E,MATCH(A38,Data_Spells!$A:$A,0))&amp;"",""))</f>
        <v/>
      </c>
      <c r="E38" s="34">
        <f>IF(A38="","",IFERROR(INDEX(Data_Spells!$F:$F,MATCH(A38,Data_Spells!$A:$A,0))&amp;"",""))</f>
        <v/>
      </c>
      <c r="F38" s="34">
        <f>IF(A38="","",IFERROR(INDEX(Data_Spells!$G:$G,MATCH(A38,Data_Spells!$A:$A,0))&amp;"",""))</f>
        <v/>
      </c>
      <c r="G38" s="11" t="n"/>
      <c r="H38" s="19">
        <f>IF(A38="","",IF(G38="Yes",0,IF(N38="P",50,100)*MIN(5,INT((COUNTIF($N$9:N38,N38)-1)/5)+1)))</f>
        <v/>
      </c>
      <c r="I38" s="25">
        <f>IF(A38="","",IFERROR(INDEX(Data_Spells!$H:$H,MATCH(A38,Data_Spells!$A:$A,0))&amp;"",""))</f>
        <v/>
      </c>
      <c r="J38" s="5" t="n"/>
      <c r="K38" s="5" t="n"/>
      <c r="L38" s="5" t="n"/>
      <c r="M38" s="15">
        <f>IF(A38="","",IFERROR(INDEX(Data_Spells!$I:$I,MATCH(A38,Data_Spells!$A:$A,0))&amp;"",""))</f>
        <v/>
      </c>
      <c r="N38">
        <f>IF(A38="","",IF(B38="Petty","P","L"))</f>
        <v/>
      </c>
    </row>
    <row r="39"/>
    <row r="40">
      <c r="A40" s="7" t="inlineStr">
        <is>
          <t>BLESSINGS (granted by the Bless talent)</t>
        </is>
      </c>
    </row>
    <row r="41">
      <c r="A41" s="9" t="inlineStr">
        <is>
          <t>Name</t>
        </is>
      </c>
      <c r="B41" s="9" t="inlineStr">
        <is>
          <t>Lore / God</t>
        </is>
      </c>
      <c r="C41" s="9" t="inlineStr">
        <is>
          <t>CN</t>
        </is>
      </c>
      <c r="D41" s="9" t="inlineStr">
        <is>
          <t>Range</t>
        </is>
      </c>
      <c r="E41" s="9" t="inlineStr">
        <is>
          <t>Target</t>
        </is>
      </c>
      <c r="F41" s="9" t="inlineStr">
        <is>
          <t>Duration</t>
        </is>
      </c>
      <c r="G41" s="9" t="inlineStr">
        <is>
          <t>Learnt free?</t>
        </is>
      </c>
      <c r="H41" s="9" t="inlineStr">
        <is>
          <t>XP cost</t>
        </is>
      </c>
      <c r="I41" s="9" t="inlineStr">
        <is>
          <t>Description</t>
        </is>
      </c>
      <c r="J41" s="5" t="n"/>
      <c r="K41" s="5" t="n"/>
      <c r="L41" s="5" t="n"/>
      <c r="M41" s="9" t="inlineStr">
        <is>
          <t>Page</t>
        </is>
      </c>
    </row>
    <row r="42">
      <c r="A42" s="33" t="n"/>
      <c r="B42" s="34">
        <f>IF(A42="","",IFERROR(INDEX(Data_Spells!$C:$C,MATCH(A42,Data_Spells!$A:$A,0))&amp;"",""))</f>
        <v/>
      </c>
      <c r="C42" s="34">
        <f>IF(A42="","",IFERROR(INDEX(Data_Spells!$D:$D,MATCH(A42,Data_Spells!$A:$A,0))&amp;"",""))</f>
        <v/>
      </c>
      <c r="D42" s="34">
        <f>IF(A42="","",IFERROR(INDEX(Data_Spells!$E:$E,MATCH(A42,Data_Spells!$A:$A,0))&amp;"",""))</f>
        <v/>
      </c>
      <c r="E42" s="34">
        <f>IF(A42="","",IFERROR(INDEX(Data_Spells!$F:$F,MATCH(A42,Data_Spells!$A:$A,0))&amp;"",""))</f>
        <v/>
      </c>
      <c r="F42" s="34">
        <f>IF(A42="","",IFERROR(INDEX(Data_Spells!$G:$G,MATCH(A42,Data_Spells!$A:$A,0))&amp;"",""))</f>
        <v/>
      </c>
      <c r="G42" s="8" t="n"/>
      <c r="H42" s="8" t="n"/>
      <c r="I42" s="25">
        <f>IF(A42="","",IFERROR(INDEX(Data_Spells!$H:$H,MATCH(A42,Data_Spells!$A:$A,0))&amp;"",""))</f>
        <v/>
      </c>
      <c r="J42" s="5" t="n"/>
      <c r="K42" s="5" t="n"/>
      <c r="L42" s="5" t="n"/>
      <c r="M42" s="15">
        <f>IF(A42="","",IFERROR(INDEX(Data_Spells!$I:$I,MATCH(A42,Data_Spells!$A:$A,0))&amp;"",""))</f>
        <v/>
      </c>
    </row>
    <row r="43">
      <c r="A43" s="33" t="n"/>
      <c r="B43" s="34">
        <f>IF(A43="","",IFERROR(INDEX(Data_Spells!$C:$C,MATCH(A43,Data_Spells!$A:$A,0))&amp;"",""))</f>
        <v/>
      </c>
      <c r="C43" s="34">
        <f>IF(A43="","",IFERROR(INDEX(Data_Spells!$D:$D,MATCH(A43,Data_Spells!$A:$A,0))&amp;"",""))</f>
        <v/>
      </c>
      <c r="D43" s="34">
        <f>IF(A43="","",IFERROR(INDEX(Data_Spells!$E:$E,MATCH(A43,Data_Spells!$A:$A,0))&amp;"",""))</f>
        <v/>
      </c>
      <c r="E43" s="34">
        <f>IF(A43="","",IFERROR(INDEX(Data_Spells!$F:$F,MATCH(A43,Data_Spells!$A:$A,0))&amp;"",""))</f>
        <v/>
      </c>
      <c r="F43" s="34">
        <f>IF(A43="","",IFERROR(INDEX(Data_Spells!$G:$G,MATCH(A43,Data_Spells!$A:$A,0))&amp;"",""))</f>
        <v/>
      </c>
      <c r="G43" s="8" t="n"/>
      <c r="H43" s="8" t="n"/>
      <c r="I43" s="25">
        <f>IF(A43="","",IFERROR(INDEX(Data_Spells!$H:$H,MATCH(A43,Data_Spells!$A:$A,0))&amp;"",""))</f>
        <v/>
      </c>
      <c r="J43" s="5" t="n"/>
      <c r="K43" s="5" t="n"/>
      <c r="L43" s="5" t="n"/>
      <c r="M43" s="15">
        <f>IF(A43="","",IFERROR(INDEX(Data_Spells!$I:$I,MATCH(A43,Data_Spells!$A:$A,0))&amp;"",""))</f>
        <v/>
      </c>
    </row>
    <row r="44">
      <c r="A44" s="33" t="n"/>
      <c r="B44" s="34">
        <f>IF(A44="","",IFERROR(INDEX(Data_Spells!$C:$C,MATCH(A44,Data_Spells!$A:$A,0))&amp;"",""))</f>
        <v/>
      </c>
      <c r="C44" s="34">
        <f>IF(A44="","",IFERROR(INDEX(Data_Spells!$D:$D,MATCH(A44,Data_Spells!$A:$A,0))&amp;"",""))</f>
        <v/>
      </c>
      <c r="D44" s="34">
        <f>IF(A44="","",IFERROR(INDEX(Data_Spells!$E:$E,MATCH(A44,Data_Spells!$A:$A,0))&amp;"",""))</f>
        <v/>
      </c>
      <c r="E44" s="34">
        <f>IF(A44="","",IFERROR(INDEX(Data_Spells!$F:$F,MATCH(A44,Data_Spells!$A:$A,0))&amp;"",""))</f>
        <v/>
      </c>
      <c r="F44" s="34">
        <f>IF(A44="","",IFERROR(INDEX(Data_Spells!$G:$G,MATCH(A44,Data_Spells!$A:$A,0))&amp;"",""))</f>
        <v/>
      </c>
      <c r="G44" s="8" t="n"/>
      <c r="H44" s="8" t="n"/>
      <c r="I44" s="25">
        <f>IF(A44="","",IFERROR(INDEX(Data_Spells!$H:$H,MATCH(A44,Data_Spells!$A:$A,0))&amp;"",""))</f>
        <v/>
      </c>
      <c r="J44" s="5" t="n"/>
      <c r="K44" s="5" t="n"/>
      <c r="L44" s="5" t="n"/>
      <c r="M44" s="15">
        <f>IF(A44="","",IFERROR(INDEX(Data_Spells!$I:$I,MATCH(A44,Data_Spells!$A:$A,0))&amp;"",""))</f>
        <v/>
      </c>
    </row>
    <row r="45">
      <c r="A45" s="33" t="n"/>
      <c r="B45" s="34">
        <f>IF(A45="","",IFERROR(INDEX(Data_Spells!$C:$C,MATCH(A45,Data_Spells!$A:$A,0))&amp;"",""))</f>
        <v/>
      </c>
      <c r="C45" s="34">
        <f>IF(A45="","",IFERROR(INDEX(Data_Spells!$D:$D,MATCH(A45,Data_Spells!$A:$A,0))&amp;"",""))</f>
        <v/>
      </c>
      <c r="D45" s="34">
        <f>IF(A45="","",IFERROR(INDEX(Data_Spells!$E:$E,MATCH(A45,Data_Spells!$A:$A,0))&amp;"",""))</f>
        <v/>
      </c>
      <c r="E45" s="34">
        <f>IF(A45="","",IFERROR(INDEX(Data_Spells!$F:$F,MATCH(A45,Data_Spells!$A:$A,0))&amp;"",""))</f>
        <v/>
      </c>
      <c r="F45" s="34">
        <f>IF(A45="","",IFERROR(INDEX(Data_Spells!$G:$G,MATCH(A45,Data_Spells!$A:$A,0))&amp;"",""))</f>
        <v/>
      </c>
      <c r="G45" s="8" t="n"/>
      <c r="H45" s="8" t="n"/>
      <c r="I45" s="25">
        <f>IF(A45="","",IFERROR(INDEX(Data_Spells!$H:$H,MATCH(A45,Data_Spells!$A:$A,0))&amp;"",""))</f>
        <v/>
      </c>
      <c r="J45" s="5" t="n"/>
      <c r="K45" s="5" t="n"/>
      <c r="L45" s="5" t="n"/>
      <c r="M45" s="15">
        <f>IF(A45="","",IFERROR(INDEX(Data_Spells!$I:$I,MATCH(A45,Data_Spells!$A:$A,0))&amp;"",""))</f>
        <v/>
      </c>
    </row>
    <row r="46">
      <c r="A46" s="33" t="n"/>
      <c r="B46" s="34">
        <f>IF(A46="","",IFERROR(INDEX(Data_Spells!$C:$C,MATCH(A46,Data_Spells!$A:$A,0))&amp;"",""))</f>
        <v/>
      </c>
      <c r="C46" s="34">
        <f>IF(A46="","",IFERROR(INDEX(Data_Spells!$D:$D,MATCH(A46,Data_Spells!$A:$A,0))&amp;"",""))</f>
        <v/>
      </c>
      <c r="D46" s="34">
        <f>IF(A46="","",IFERROR(INDEX(Data_Spells!$E:$E,MATCH(A46,Data_Spells!$A:$A,0))&amp;"",""))</f>
        <v/>
      </c>
      <c r="E46" s="34">
        <f>IF(A46="","",IFERROR(INDEX(Data_Spells!$F:$F,MATCH(A46,Data_Spells!$A:$A,0))&amp;"",""))</f>
        <v/>
      </c>
      <c r="F46" s="34">
        <f>IF(A46="","",IFERROR(INDEX(Data_Spells!$G:$G,MATCH(A46,Data_Spells!$A:$A,0))&amp;"",""))</f>
        <v/>
      </c>
      <c r="G46" s="8" t="n"/>
      <c r="H46" s="8" t="n"/>
      <c r="I46" s="25">
        <f>IF(A46="","",IFERROR(INDEX(Data_Spells!$H:$H,MATCH(A46,Data_Spells!$A:$A,0))&amp;"",""))</f>
        <v/>
      </c>
      <c r="J46" s="5" t="n"/>
      <c r="K46" s="5" t="n"/>
      <c r="L46" s="5" t="n"/>
      <c r="M46" s="15">
        <f>IF(A46="","",IFERROR(INDEX(Data_Spells!$I:$I,MATCH(A46,Data_Spells!$A:$A,0))&amp;"",""))</f>
        <v/>
      </c>
    </row>
    <row r="47">
      <c r="A47" s="33" t="n"/>
      <c r="B47" s="34">
        <f>IF(A47="","",IFERROR(INDEX(Data_Spells!$C:$C,MATCH(A47,Data_Spells!$A:$A,0))&amp;"",""))</f>
        <v/>
      </c>
      <c r="C47" s="34">
        <f>IF(A47="","",IFERROR(INDEX(Data_Spells!$D:$D,MATCH(A47,Data_Spells!$A:$A,0))&amp;"",""))</f>
        <v/>
      </c>
      <c r="D47" s="34">
        <f>IF(A47="","",IFERROR(INDEX(Data_Spells!$E:$E,MATCH(A47,Data_Spells!$A:$A,0))&amp;"",""))</f>
        <v/>
      </c>
      <c r="E47" s="34">
        <f>IF(A47="","",IFERROR(INDEX(Data_Spells!$F:$F,MATCH(A47,Data_Spells!$A:$A,0))&amp;"",""))</f>
        <v/>
      </c>
      <c r="F47" s="34">
        <f>IF(A47="","",IFERROR(INDEX(Data_Spells!$G:$G,MATCH(A47,Data_Spells!$A:$A,0))&amp;"",""))</f>
        <v/>
      </c>
      <c r="G47" s="8" t="n"/>
      <c r="H47" s="8" t="n"/>
      <c r="I47" s="25">
        <f>IF(A47="","",IFERROR(INDEX(Data_Spells!$H:$H,MATCH(A47,Data_Spells!$A:$A,0))&amp;"",""))</f>
        <v/>
      </c>
      <c r="J47" s="5" t="n"/>
      <c r="K47" s="5" t="n"/>
      <c r="L47" s="5" t="n"/>
      <c r="M47" s="15">
        <f>IF(A47="","",IFERROR(INDEX(Data_Spells!$I:$I,MATCH(A47,Data_Spells!$A:$A,0))&amp;"",""))</f>
        <v/>
      </c>
    </row>
    <row r="48"/>
    <row r="49">
      <c r="A49" s="7" t="inlineStr">
        <is>
          <t>MIRACLES (granted by the Invoke talent)</t>
        </is>
      </c>
    </row>
    <row r="50">
      <c r="A50" s="9" t="inlineStr">
        <is>
          <t>Name</t>
        </is>
      </c>
      <c r="B50" s="9" t="inlineStr">
        <is>
          <t>Lore / God</t>
        </is>
      </c>
      <c r="C50" s="9" t="inlineStr">
        <is>
          <t>CN</t>
        </is>
      </c>
      <c r="D50" s="9" t="inlineStr">
        <is>
          <t>Range</t>
        </is>
      </c>
      <c r="E50" s="9" t="inlineStr">
        <is>
          <t>Target</t>
        </is>
      </c>
      <c r="F50" s="9" t="inlineStr">
        <is>
          <t>Duration</t>
        </is>
      </c>
      <c r="G50" s="9" t="inlineStr">
        <is>
          <t>Learnt free?</t>
        </is>
      </c>
      <c r="H50" s="9" t="inlineStr">
        <is>
          <t>XP cost</t>
        </is>
      </c>
      <c r="I50" s="9" t="inlineStr">
        <is>
          <t>Description</t>
        </is>
      </c>
      <c r="J50" s="5" t="n"/>
      <c r="K50" s="5" t="n"/>
      <c r="L50" s="5" t="n"/>
      <c r="M50" s="9" t="inlineStr">
        <is>
          <t>Page</t>
        </is>
      </c>
    </row>
    <row r="51">
      <c r="A51" s="33" t="n"/>
      <c r="B51" s="34">
        <f>IF(A51="","",IFERROR(INDEX(Data_Spells!$C:$C,MATCH(A51,Data_Spells!$A:$A,0))&amp;"",""))</f>
        <v/>
      </c>
      <c r="C51" s="34">
        <f>IF(A51="","",IFERROR(INDEX(Data_Spells!$D:$D,MATCH(A51,Data_Spells!$A:$A,0))&amp;"",""))</f>
        <v/>
      </c>
      <c r="D51" s="34">
        <f>IF(A51="","",IFERROR(INDEX(Data_Spells!$E:$E,MATCH(A51,Data_Spells!$A:$A,0))&amp;"",""))</f>
        <v/>
      </c>
      <c r="E51" s="34">
        <f>IF(A51="","",IFERROR(INDEX(Data_Spells!$F:$F,MATCH(A51,Data_Spells!$A:$A,0))&amp;"",""))</f>
        <v/>
      </c>
      <c r="F51" s="34">
        <f>IF(A51="","",IFERROR(INDEX(Data_Spells!$G:$G,MATCH(A51,Data_Spells!$A:$A,0))&amp;"",""))</f>
        <v/>
      </c>
      <c r="G51" s="11" t="n"/>
      <c r="H51" s="19">
        <f>IF(A51="","",IF(G51="Yes",0,IF(N51="P",50,100)*MIN(5,INT((COUNTIF($N$51:N51,N51)-1)/5)+1)))</f>
        <v/>
      </c>
      <c r="I51" s="25">
        <f>IF(A51="","",IFERROR(INDEX(Data_Spells!$H:$H,MATCH(A51,Data_Spells!$A:$A,0))&amp;"",""))</f>
        <v/>
      </c>
      <c r="J51" s="5" t="n"/>
      <c r="K51" s="5" t="n"/>
      <c r="L51" s="5" t="n"/>
      <c r="M51" s="15">
        <f>IF(A51="","",IFERROR(INDEX(Data_Spells!$I:$I,MATCH(A51,Data_Spells!$A:$A,0))&amp;"",""))</f>
        <v/>
      </c>
      <c r="N51">
        <f>IF(A51="","","M")</f>
        <v/>
      </c>
    </row>
    <row r="52">
      <c r="A52" s="33" t="n"/>
      <c r="B52" s="34">
        <f>IF(A52="","",IFERROR(INDEX(Data_Spells!$C:$C,MATCH(A52,Data_Spells!$A:$A,0))&amp;"",""))</f>
        <v/>
      </c>
      <c r="C52" s="34">
        <f>IF(A52="","",IFERROR(INDEX(Data_Spells!$D:$D,MATCH(A52,Data_Spells!$A:$A,0))&amp;"",""))</f>
        <v/>
      </c>
      <c r="D52" s="34">
        <f>IF(A52="","",IFERROR(INDEX(Data_Spells!$E:$E,MATCH(A52,Data_Spells!$A:$A,0))&amp;"",""))</f>
        <v/>
      </c>
      <c r="E52" s="34">
        <f>IF(A52="","",IFERROR(INDEX(Data_Spells!$F:$F,MATCH(A52,Data_Spells!$A:$A,0))&amp;"",""))</f>
        <v/>
      </c>
      <c r="F52" s="34">
        <f>IF(A52="","",IFERROR(INDEX(Data_Spells!$G:$G,MATCH(A52,Data_Spells!$A:$A,0))&amp;"",""))</f>
        <v/>
      </c>
      <c r="G52" s="11" t="n"/>
      <c r="H52" s="19">
        <f>IF(A52="","",IF(G52="Yes",0,IF(N52="P",50,100)*MIN(5,INT((COUNTIF($N$51:N52,N52)-1)/5)+1)))</f>
        <v/>
      </c>
      <c r="I52" s="25">
        <f>IF(A52="","",IFERROR(INDEX(Data_Spells!$H:$H,MATCH(A52,Data_Spells!$A:$A,0))&amp;"",""))</f>
        <v/>
      </c>
      <c r="J52" s="5" t="n"/>
      <c r="K52" s="5" t="n"/>
      <c r="L52" s="5" t="n"/>
      <c r="M52" s="15">
        <f>IF(A52="","",IFERROR(INDEX(Data_Spells!$I:$I,MATCH(A52,Data_Spells!$A:$A,0))&amp;"",""))</f>
        <v/>
      </c>
      <c r="N52">
        <f>IF(A52="","","M")</f>
        <v/>
      </c>
    </row>
    <row r="53">
      <c r="A53" s="33" t="n"/>
      <c r="B53" s="34">
        <f>IF(A53="","",IFERROR(INDEX(Data_Spells!$C:$C,MATCH(A53,Data_Spells!$A:$A,0))&amp;"",""))</f>
        <v/>
      </c>
      <c r="C53" s="34">
        <f>IF(A53="","",IFERROR(INDEX(Data_Spells!$D:$D,MATCH(A53,Data_Spells!$A:$A,0))&amp;"",""))</f>
        <v/>
      </c>
      <c r="D53" s="34">
        <f>IF(A53="","",IFERROR(INDEX(Data_Spells!$E:$E,MATCH(A53,Data_Spells!$A:$A,0))&amp;"",""))</f>
        <v/>
      </c>
      <c r="E53" s="34">
        <f>IF(A53="","",IFERROR(INDEX(Data_Spells!$F:$F,MATCH(A53,Data_Spells!$A:$A,0))&amp;"",""))</f>
        <v/>
      </c>
      <c r="F53" s="34">
        <f>IF(A53="","",IFERROR(INDEX(Data_Spells!$G:$G,MATCH(A53,Data_Spells!$A:$A,0))&amp;"",""))</f>
        <v/>
      </c>
      <c r="G53" s="11" t="n"/>
      <c r="H53" s="19">
        <f>IF(A53="","",IF(G53="Yes",0,IF(N53="P",50,100)*MIN(5,INT((COUNTIF($N$51:N53,N53)-1)/5)+1)))</f>
        <v/>
      </c>
      <c r="I53" s="25">
        <f>IF(A53="","",IFERROR(INDEX(Data_Spells!$H:$H,MATCH(A53,Data_Spells!$A:$A,0))&amp;"",""))</f>
        <v/>
      </c>
      <c r="J53" s="5" t="n"/>
      <c r="K53" s="5" t="n"/>
      <c r="L53" s="5" t="n"/>
      <c r="M53" s="15">
        <f>IF(A53="","",IFERROR(INDEX(Data_Spells!$I:$I,MATCH(A53,Data_Spells!$A:$A,0))&amp;"",""))</f>
        <v/>
      </c>
      <c r="N53">
        <f>IF(A53="","","M")</f>
        <v/>
      </c>
    </row>
    <row r="54">
      <c r="A54" s="33" t="n"/>
      <c r="B54" s="34">
        <f>IF(A54="","",IFERROR(INDEX(Data_Spells!$C:$C,MATCH(A54,Data_Spells!$A:$A,0))&amp;"",""))</f>
        <v/>
      </c>
      <c r="C54" s="34">
        <f>IF(A54="","",IFERROR(INDEX(Data_Spells!$D:$D,MATCH(A54,Data_Spells!$A:$A,0))&amp;"",""))</f>
        <v/>
      </c>
      <c r="D54" s="34">
        <f>IF(A54="","",IFERROR(INDEX(Data_Spells!$E:$E,MATCH(A54,Data_Spells!$A:$A,0))&amp;"",""))</f>
        <v/>
      </c>
      <c r="E54" s="34">
        <f>IF(A54="","",IFERROR(INDEX(Data_Spells!$F:$F,MATCH(A54,Data_Spells!$A:$A,0))&amp;"",""))</f>
        <v/>
      </c>
      <c r="F54" s="34">
        <f>IF(A54="","",IFERROR(INDEX(Data_Spells!$G:$G,MATCH(A54,Data_Spells!$A:$A,0))&amp;"",""))</f>
        <v/>
      </c>
      <c r="G54" s="11" t="n"/>
      <c r="H54" s="19">
        <f>IF(A54="","",IF(G54="Yes",0,IF(N54="P",50,100)*MIN(5,INT((COUNTIF($N$51:N54,N54)-1)/5)+1)))</f>
        <v/>
      </c>
      <c r="I54" s="25">
        <f>IF(A54="","",IFERROR(INDEX(Data_Spells!$H:$H,MATCH(A54,Data_Spells!$A:$A,0))&amp;"",""))</f>
        <v/>
      </c>
      <c r="J54" s="5" t="n"/>
      <c r="K54" s="5" t="n"/>
      <c r="L54" s="5" t="n"/>
      <c r="M54" s="15">
        <f>IF(A54="","",IFERROR(INDEX(Data_Spells!$I:$I,MATCH(A54,Data_Spells!$A:$A,0))&amp;"",""))</f>
        <v/>
      </c>
      <c r="N54">
        <f>IF(A54="","","M")</f>
        <v/>
      </c>
    </row>
    <row r="55">
      <c r="A55" s="33" t="n"/>
      <c r="B55" s="34">
        <f>IF(A55="","",IFERROR(INDEX(Data_Spells!$C:$C,MATCH(A55,Data_Spells!$A:$A,0))&amp;"",""))</f>
        <v/>
      </c>
      <c r="C55" s="34">
        <f>IF(A55="","",IFERROR(INDEX(Data_Spells!$D:$D,MATCH(A55,Data_Spells!$A:$A,0))&amp;"",""))</f>
        <v/>
      </c>
      <c r="D55" s="34">
        <f>IF(A55="","",IFERROR(INDEX(Data_Spells!$E:$E,MATCH(A55,Data_Spells!$A:$A,0))&amp;"",""))</f>
        <v/>
      </c>
      <c r="E55" s="34">
        <f>IF(A55="","",IFERROR(INDEX(Data_Spells!$F:$F,MATCH(A55,Data_Spells!$A:$A,0))&amp;"",""))</f>
        <v/>
      </c>
      <c r="F55" s="34">
        <f>IF(A55="","",IFERROR(INDEX(Data_Spells!$G:$G,MATCH(A55,Data_Spells!$A:$A,0))&amp;"",""))</f>
        <v/>
      </c>
      <c r="G55" s="11" t="n"/>
      <c r="H55" s="19">
        <f>IF(A55="","",IF(G55="Yes",0,IF(N55="P",50,100)*MIN(5,INT((COUNTIF($N$51:N55,N55)-1)/5)+1)))</f>
        <v/>
      </c>
      <c r="I55" s="25">
        <f>IF(A55="","",IFERROR(INDEX(Data_Spells!$H:$H,MATCH(A55,Data_Spells!$A:$A,0))&amp;"",""))</f>
        <v/>
      </c>
      <c r="J55" s="5" t="n"/>
      <c r="K55" s="5" t="n"/>
      <c r="L55" s="5" t="n"/>
      <c r="M55" s="15">
        <f>IF(A55="","",IFERROR(INDEX(Data_Spells!$I:$I,MATCH(A55,Data_Spells!$A:$A,0))&amp;"",""))</f>
        <v/>
      </c>
      <c r="N55">
        <f>IF(A55="","","M")</f>
        <v/>
      </c>
    </row>
    <row r="56">
      <c r="A56" s="33" t="n"/>
      <c r="B56" s="34">
        <f>IF(A56="","",IFERROR(INDEX(Data_Spells!$C:$C,MATCH(A56,Data_Spells!$A:$A,0))&amp;"",""))</f>
        <v/>
      </c>
      <c r="C56" s="34">
        <f>IF(A56="","",IFERROR(INDEX(Data_Spells!$D:$D,MATCH(A56,Data_Spells!$A:$A,0))&amp;"",""))</f>
        <v/>
      </c>
      <c r="D56" s="34">
        <f>IF(A56="","",IFERROR(INDEX(Data_Spells!$E:$E,MATCH(A56,Data_Spells!$A:$A,0))&amp;"",""))</f>
        <v/>
      </c>
      <c r="E56" s="34">
        <f>IF(A56="","",IFERROR(INDEX(Data_Spells!$F:$F,MATCH(A56,Data_Spells!$A:$A,0))&amp;"",""))</f>
        <v/>
      </c>
      <c r="F56" s="34">
        <f>IF(A56="","",IFERROR(INDEX(Data_Spells!$G:$G,MATCH(A56,Data_Spells!$A:$A,0))&amp;"",""))</f>
        <v/>
      </c>
      <c r="G56" s="11" t="n"/>
      <c r="H56" s="19">
        <f>IF(A56="","",IF(G56="Yes",0,IF(N56="P",50,100)*MIN(5,INT((COUNTIF($N$51:N56,N56)-1)/5)+1)))</f>
        <v/>
      </c>
      <c r="I56" s="25">
        <f>IF(A56="","",IFERROR(INDEX(Data_Spells!$H:$H,MATCH(A56,Data_Spells!$A:$A,0))&amp;"",""))</f>
        <v/>
      </c>
      <c r="J56" s="5" t="n"/>
      <c r="K56" s="5" t="n"/>
      <c r="L56" s="5" t="n"/>
      <c r="M56" s="15">
        <f>IF(A56="","",IFERROR(INDEX(Data_Spells!$I:$I,MATCH(A56,Data_Spells!$A:$A,0))&amp;"",""))</f>
        <v/>
      </c>
      <c r="N56">
        <f>IF(A56="","","M")</f>
        <v/>
      </c>
    </row>
    <row r="57">
      <c r="A57" s="33" t="n"/>
      <c r="B57" s="34">
        <f>IF(A57="","",IFERROR(INDEX(Data_Spells!$C:$C,MATCH(A57,Data_Spells!$A:$A,0))&amp;"",""))</f>
        <v/>
      </c>
      <c r="C57" s="34">
        <f>IF(A57="","",IFERROR(INDEX(Data_Spells!$D:$D,MATCH(A57,Data_Spells!$A:$A,0))&amp;"",""))</f>
        <v/>
      </c>
      <c r="D57" s="34">
        <f>IF(A57="","",IFERROR(INDEX(Data_Spells!$E:$E,MATCH(A57,Data_Spells!$A:$A,0))&amp;"",""))</f>
        <v/>
      </c>
      <c r="E57" s="34">
        <f>IF(A57="","",IFERROR(INDEX(Data_Spells!$F:$F,MATCH(A57,Data_Spells!$A:$A,0))&amp;"",""))</f>
        <v/>
      </c>
      <c r="F57" s="34">
        <f>IF(A57="","",IFERROR(INDEX(Data_Spells!$G:$G,MATCH(A57,Data_Spells!$A:$A,0))&amp;"",""))</f>
        <v/>
      </c>
      <c r="G57" s="11" t="n"/>
      <c r="H57" s="19">
        <f>IF(A57="","",IF(G57="Yes",0,IF(N57="P",50,100)*MIN(5,INT((COUNTIF($N$51:N57,N57)-1)/5)+1)))</f>
        <v/>
      </c>
      <c r="I57" s="25">
        <f>IF(A57="","",IFERROR(INDEX(Data_Spells!$H:$H,MATCH(A57,Data_Spells!$A:$A,0))&amp;"",""))</f>
        <v/>
      </c>
      <c r="J57" s="5" t="n"/>
      <c r="K57" s="5" t="n"/>
      <c r="L57" s="5" t="n"/>
      <c r="M57" s="15">
        <f>IF(A57="","",IFERROR(INDEX(Data_Spells!$I:$I,MATCH(A57,Data_Spells!$A:$A,0))&amp;"",""))</f>
        <v/>
      </c>
      <c r="N57">
        <f>IF(A57="","","M")</f>
        <v/>
      </c>
    </row>
    <row r="58">
      <c r="A58" s="33" t="n"/>
      <c r="B58" s="34">
        <f>IF(A58="","",IFERROR(INDEX(Data_Spells!$C:$C,MATCH(A58,Data_Spells!$A:$A,0))&amp;"",""))</f>
        <v/>
      </c>
      <c r="C58" s="34">
        <f>IF(A58="","",IFERROR(INDEX(Data_Spells!$D:$D,MATCH(A58,Data_Spells!$A:$A,0))&amp;"",""))</f>
        <v/>
      </c>
      <c r="D58" s="34">
        <f>IF(A58="","",IFERROR(INDEX(Data_Spells!$E:$E,MATCH(A58,Data_Spells!$A:$A,0))&amp;"",""))</f>
        <v/>
      </c>
      <c r="E58" s="34">
        <f>IF(A58="","",IFERROR(INDEX(Data_Spells!$F:$F,MATCH(A58,Data_Spells!$A:$A,0))&amp;"",""))</f>
        <v/>
      </c>
      <c r="F58" s="34">
        <f>IF(A58="","",IFERROR(INDEX(Data_Spells!$G:$G,MATCH(A58,Data_Spells!$A:$A,0))&amp;"",""))</f>
        <v/>
      </c>
      <c r="G58" s="11" t="n"/>
      <c r="H58" s="19">
        <f>IF(A58="","",IF(G58="Yes",0,IF(N58="P",50,100)*MIN(5,INT((COUNTIF($N$51:N58,N58)-1)/5)+1)))</f>
        <v/>
      </c>
      <c r="I58" s="25">
        <f>IF(A58="","",IFERROR(INDEX(Data_Spells!$H:$H,MATCH(A58,Data_Spells!$A:$A,0))&amp;"",""))</f>
        <v/>
      </c>
      <c r="J58" s="5" t="n"/>
      <c r="K58" s="5" t="n"/>
      <c r="L58" s="5" t="n"/>
      <c r="M58" s="15">
        <f>IF(A58="","",IFERROR(INDEX(Data_Spells!$I:$I,MATCH(A58,Data_Spells!$A:$A,0))&amp;"",""))</f>
        <v/>
      </c>
      <c r="N58">
        <f>IF(A58="","","M")</f>
        <v/>
      </c>
    </row>
    <row r="59">
      <c r="A59" s="33" t="n"/>
      <c r="B59" s="34">
        <f>IF(A59="","",IFERROR(INDEX(Data_Spells!$C:$C,MATCH(A59,Data_Spells!$A:$A,0))&amp;"",""))</f>
        <v/>
      </c>
      <c r="C59" s="34">
        <f>IF(A59="","",IFERROR(INDEX(Data_Spells!$D:$D,MATCH(A59,Data_Spells!$A:$A,0))&amp;"",""))</f>
        <v/>
      </c>
      <c r="D59" s="34">
        <f>IF(A59="","",IFERROR(INDEX(Data_Spells!$E:$E,MATCH(A59,Data_Spells!$A:$A,0))&amp;"",""))</f>
        <v/>
      </c>
      <c r="E59" s="34">
        <f>IF(A59="","",IFERROR(INDEX(Data_Spells!$F:$F,MATCH(A59,Data_Spells!$A:$A,0))&amp;"",""))</f>
        <v/>
      </c>
      <c r="F59" s="34">
        <f>IF(A59="","",IFERROR(INDEX(Data_Spells!$G:$G,MATCH(A59,Data_Spells!$A:$A,0))&amp;"",""))</f>
        <v/>
      </c>
      <c r="G59" s="11" t="n"/>
      <c r="H59" s="19">
        <f>IF(A59="","",IF(G59="Yes",0,IF(N59="P",50,100)*MIN(5,INT((COUNTIF($N$51:N59,N59)-1)/5)+1)))</f>
        <v/>
      </c>
      <c r="I59" s="25">
        <f>IF(A59="","",IFERROR(INDEX(Data_Spells!$H:$H,MATCH(A59,Data_Spells!$A:$A,0))&amp;"",""))</f>
        <v/>
      </c>
      <c r="J59" s="5" t="n"/>
      <c r="K59" s="5" t="n"/>
      <c r="L59" s="5" t="n"/>
      <c r="M59" s="15">
        <f>IF(A59="","",IFERROR(INDEX(Data_Spells!$I:$I,MATCH(A59,Data_Spells!$A:$A,0))&amp;"",""))</f>
        <v/>
      </c>
      <c r="N59">
        <f>IF(A59="","","M")</f>
        <v/>
      </c>
    </row>
    <row r="60">
      <c r="A60" s="33" t="n"/>
      <c r="B60" s="34">
        <f>IF(A60="","",IFERROR(INDEX(Data_Spells!$C:$C,MATCH(A60,Data_Spells!$A:$A,0))&amp;"",""))</f>
        <v/>
      </c>
      <c r="C60" s="34">
        <f>IF(A60="","",IFERROR(INDEX(Data_Spells!$D:$D,MATCH(A60,Data_Spells!$A:$A,0))&amp;"",""))</f>
        <v/>
      </c>
      <c r="D60" s="34">
        <f>IF(A60="","",IFERROR(INDEX(Data_Spells!$E:$E,MATCH(A60,Data_Spells!$A:$A,0))&amp;"",""))</f>
        <v/>
      </c>
      <c r="E60" s="34">
        <f>IF(A60="","",IFERROR(INDEX(Data_Spells!$F:$F,MATCH(A60,Data_Spells!$A:$A,0))&amp;"",""))</f>
        <v/>
      </c>
      <c r="F60" s="34">
        <f>IF(A60="","",IFERROR(INDEX(Data_Spells!$G:$G,MATCH(A60,Data_Spells!$A:$A,0))&amp;"",""))</f>
        <v/>
      </c>
      <c r="G60" s="11" t="n"/>
      <c r="H60" s="19">
        <f>IF(A60="","",IF(G60="Yes",0,IF(N60="P",50,100)*MIN(5,INT((COUNTIF($N$51:N60,N60)-1)/5)+1)))</f>
        <v/>
      </c>
      <c r="I60" s="25">
        <f>IF(A60="","",IFERROR(INDEX(Data_Spells!$H:$H,MATCH(A60,Data_Spells!$A:$A,0))&amp;"",""))</f>
        <v/>
      </c>
      <c r="J60" s="5" t="n"/>
      <c r="K60" s="5" t="n"/>
      <c r="L60" s="5" t="n"/>
      <c r="M60" s="15">
        <f>IF(A60="","",IFERROR(INDEX(Data_Spells!$I:$I,MATCH(A60,Data_Spells!$A:$A,0))&amp;"",""))</f>
        <v/>
      </c>
      <c r="N60">
        <f>IF(A60="","","M")</f>
        <v/>
      </c>
    </row>
    <row r="61">
      <c r="A61" s="33" t="n"/>
      <c r="B61" s="34">
        <f>IF(A61="","",IFERROR(INDEX(Data_Spells!$C:$C,MATCH(A61,Data_Spells!$A:$A,0))&amp;"",""))</f>
        <v/>
      </c>
      <c r="C61" s="34">
        <f>IF(A61="","",IFERROR(INDEX(Data_Spells!$D:$D,MATCH(A61,Data_Spells!$A:$A,0))&amp;"",""))</f>
        <v/>
      </c>
      <c r="D61" s="34">
        <f>IF(A61="","",IFERROR(INDEX(Data_Spells!$E:$E,MATCH(A61,Data_Spells!$A:$A,0))&amp;"",""))</f>
        <v/>
      </c>
      <c r="E61" s="34">
        <f>IF(A61="","",IFERROR(INDEX(Data_Spells!$F:$F,MATCH(A61,Data_Spells!$A:$A,0))&amp;"",""))</f>
        <v/>
      </c>
      <c r="F61" s="34">
        <f>IF(A61="","",IFERROR(INDEX(Data_Spells!$G:$G,MATCH(A61,Data_Spells!$A:$A,0))&amp;"",""))</f>
        <v/>
      </c>
      <c r="G61" s="11" t="n"/>
      <c r="H61" s="19">
        <f>IF(A61="","",IF(G61="Yes",0,IF(N61="P",50,100)*MIN(5,INT((COUNTIF($N$51:N61,N61)-1)/5)+1)))</f>
        <v/>
      </c>
      <c r="I61" s="25">
        <f>IF(A61="","",IFERROR(INDEX(Data_Spells!$H:$H,MATCH(A61,Data_Spells!$A:$A,0))&amp;"",""))</f>
        <v/>
      </c>
      <c r="J61" s="5" t="n"/>
      <c r="K61" s="5" t="n"/>
      <c r="L61" s="5" t="n"/>
      <c r="M61" s="15">
        <f>IF(A61="","",IFERROR(INDEX(Data_Spells!$I:$I,MATCH(A61,Data_Spells!$A:$A,0))&amp;"",""))</f>
        <v/>
      </c>
      <c r="N61">
        <f>IF(A61="","","M")</f>
        <v/>
      </c>
    </row>
    <row r="62">
      <c r="A62" s="33" t="n"/>
      <c r="B62" s="34">
        <f>IF(A62="","",IFERROR(INDEX(Data_Spells!$C:$C,MATCH(A62,Data_Spells!$A:$A,0))&amp;"",""))</f>
        <v/>
      </c>
      <c r="C62" s="34">
        <f>IF(A62="","",IFERROR(INDEX(Data_Spells!$D:$D,MATCH(A62,Data_Spells!$A:$A,0))&amp;"",""))</f>
        <v/>
      </c>
      <c r="D62" s="34">
        <f>IF(A62="","",IFERROR(INDEX(Data_Spells!$E:$E,MATCH(A62,Data_Spells!$A:$A,0))&amp;"",""))</f>
        <v/>
      </c>
      <c r="E62" s="34">
        <f>IF(A62="","",IFERROR(INDEX(Data_Spells!$F:$F,MATCH(A62,Data_Spells!$A:$A,0))&amp;"",""))</f>
        <v/>
      </c>
      <c r="F62" s="34">
        <f>IF(A62="","",IFERROR(INDEX(Data_Spells!$G:$G,MATCH(A62,Data_Spells!$A:$A,0))&amp;"",""))</f>
        <v/>
      </c>
      <c r="G62" s="11" t="n"/>
      <c r="H62" s="19">
        <f>IF(A62="","",IF(G62="Yes",0,IF(N62="P",50,100)*MIN(5,INT((COUNTIF($N$51:N62,N62)-1)/5)+1)))</f>
        <v/>
      </c>
      <c r="I62" s="25">
        <f>IF(A62="","",IFERROR(INDEX(Data_Spells!$H:$H,MATCH(A62,Data_Spells!$A:$A,0))&amp;"",""))</f>
        <v/>
      </c>
      <c r="J62" s="5" t="n"/>
      <c r="K62" s="5" t="n"/>
      <c r="L62" s="5" t="n"/>
      <c r="M62" s="15">
        <f>IF(A62="","",IFERROR(INDEX(Data_Spells!$I:$I,MATCH(A62,Data_Spells!$A:$A,0))&amp;"",""))</f>
        <v/>
      </c>
      <c r="N62">
        <f>IF(A62="","","M")</f>
        <v/>
      </c>
    </row>
  </sheetData>
  <mergeCells count="58">
    <mergeCell ref="I14:L14"/>
    <mergeCell ref="I52:L52"/>
    <mergeCell ref="I17:L17"/>
    <mergeCell ref="I8:L8"/>
    <mergeCell ref="B3:C3"/>
    <mergeCell ref="I44:L44"/>
    <mergeCell ref="I35:L35"/>
    <mergeCell ref="I51:L51"/>
    <mergeCell ref="I20:L20"/>
    <mergeCell ref="I38:L38"/>
    <mergeCell ref="I29:L29"/>
    <mergeCell ref="I10:L10"/>
    <mergeCell ref="I19:L19"/>
    <mergeCell ref="I59:L59"/>
    <mergeCell ref="I13:L13"/>
    <mergeCell ref="I50:L50"/>
    <mergeCell ref="I60:L60"/>
    <mergeCell ref="I9:L9"/>
    <mergeCell ref="I31:L31"/>
    <mergeCell ref="I34:L34"/>
    <mergeCell ref="A40:M40"/>
    <mergeCell ref="I30:L30"/>
    <mergeCell ref="I15:L15"/>
    <mergeCell ref="I46:L46"/>
    <mergeCell ref="I11:L11"/>
    <mergeCell ref="A49:M49"/>
    <mergeCell ref="I27:L27"/>
    <mergeCell ref="I45:L45"/>
    <mergeCell ref="I36:L36"/>
    <mergeCell ref="I61:L61"/>
    <mergeCell ref="A1:M1"/>
    <mergeCell ref="I26:L26"/>
    <mergeCell ref="I57:L57"/>
    <mergeCell ref="I47:L47"/>
    <mergeCell ref="I16:L16"/>
    <mergeCell ref="I54:L54"/>
    <mergeCell ref="I32:L32"/>
    <mergeCell ref="A7:M7"/>
    <mergeCell ref="I25:L25"/>
    <mergeCell ref="I41:L41"/>
    <mergeCell ref="I37:L37"/>
    <mergeCell ref="I22:L22"/>
    <mergeCell ref="J3:K3"/>
    <mergeCell ref="I28:L28"/>
    <mergeCell ref="I18:L18"/>
    <mergeCell ref="I53:L53"/>
    <mergeCell ref="I56:L56"/>
    <mergeCell ref="I58:L58"/>
    <mergeCell ref="I21:L21"/>
    <mergeCell ref="I43:L43"/>
    <mergeCell ref="I12:L12"/>
    <mergeCell ref="I55:L55"/>
    <mergeCell ref="I24:L24"/>
    <mergeCell ref="I62:L62"/>
    <mergeCell ref="I33:L33"/>
    <mergeCell ref="A2:M2"/>
    <mergeCell ref="I42:L42"/>
    <mergeCell ref="I23:L23"/>
  </mergeCells>
  <dataValidations count="7">
    <dataValidation sqref="B3" showDropDown="0" showInputMessage="0" showErrorMessage="0" allowBlank="1" type="list">
      <formula1>=Data_Lists!$Y$2:$Y$16</formula1>
    </dataValidation>
    <dataValidation sqref="J3" showDropDown="0" showInputMessage="0" showErrorMessage="0" allowBlank="1" type="list">
      <formula1>=Data_Lists!$AB$2:$AB$11</formula1>
    </dataValidation>
    <dataValidation sqref="A9:A38" showDropDown="0" showInputMessage="0" showErrorMessage="0" allowBlank="1" type="list">
      <formula1>=Data_Spells!$A$2:$A$141</formula1>
    </dataValidation>
    <dataValidation sqref="G9:G38" showDropDown="0" showInputMessage="0" showErrorMessage="1" allowBlank="1" errorTitle="Invalid value" error="Please pick a value from the list." type="list">
      <formula1>=Data_Lists!$O$2:$O$3</formula1>
    </dataValidation>
    <dataValidation sqref="A42:A47" showDropDown="0" showInputMessage="0" showErrorMessage="0" allowBlank="1" type="list">
      <formula1>=Data_Spells!$A$142:$A$160</formula1>
    </dataValidation>
    <dataValidation sqref="A51:A62" showDropDown="0" showInputMessage="0" showErrorMessage="0" allowBlank="1" type="list">
      <formula1>=Data_Spells!$A$161:$A$220</formula1>
    </dataValidation>
    <dataValidation sqref="G51:G62" showDropDown="0" showInputMessage="0" showErrorMessage="1" allowBlank="1" errorTitle="Invalid value" error="Please pick a value from the list." type="list">
      <formula1>=Data_Lists!$O$2:$O$3</formula1>
    </dataValidation>
  </dataValidations>
  <pageMargins left="0.75" right="0.75" top="1" bottom="1" header="0.5" footer="0.5"/>
</worksheet>
</file>

<file path=xl/worksheets/sheet5.xml><?xml version="1.0" encoding="utf-8"?>
<worksheet xmlns="http://schemas.openxmlformats.org/spreadsheetml/2006/main">
  <sheetPr>
    <tabColor rgb="006B4E71"/>
    <outlinePr summaryBelow="1" summaryRight="1"/>
    <pageSetUpPr/>
  </sheetPr>
  <dimension ref="A1:I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PERSONALITY &amp; BACKGROUND</t>
        </is>
      </c>
    </row>
    <row r="2"/>
    <row r="3">
      <c r="A3" s="7" t="inlineStr">
        <is>
          <t>BACKGROUND QUESTIONS</t>
        </is>
      </c>
    </row>
    <row r="4" ht="45" customHeight="1">
      <c r="A4" s="35" t="inlineStr">
        <is>
          <t>Where are you from?</t>
        </is>
      </c>
      <c r="B4" s="33" t="n"/>
      <c r="C4" s="5" t="n"/>
      <c r="D4" s="5" t="n"/>
      <c r="E4" s="5" t="n"/>
      <c r="F4" s="5" t="n"/>
      <c r="G4" s="5" t="n"/>
      <c r="H4" s="5" t="n"/>
      <c r="I4" s="5" t="n"/>
    </row>
    <row r="5" ht="45" customHeight="1">
      <c r="A5" s="35" t="inlineStr">
        <is>
          <t>What is your family like?</t>
        </is>
      </c>
      <c r="B5" s="33" t="n"/>
      <c r="C5" s="5" t="n"/>
      <c r="D5" s="5" t="n"/>
      <c r="E5" s="5" t="n"/>
      <c r="F5" s="5" t="n"/>
      <c r="G5" s="5" t="n"/>
      <c r="H5" s="5" t="n"/>
      <c r="I5" s="5" t="n"/>
    </row>
    <row r="6" ht="45" customHeight="1">
      <c r="A6" s="35" t="inlineStr">
        <is>
          <t>Who are your best friends?</t>
        </is>
      </c>
      <c r="B6" s="33" t="n"/>
      <c r="C6" s="5" t="n"/>
      <c r="D6" s="5" t="n"/>
      <c r="E6" s="5" t="n"/>
      <c r="F6" s="5" t="n"/>
      <c r="G6" s="5" t="n"/>
      <c r="H6" s="5" t="n"/>
      <c r="I6" s="5" t="n"/>
    </row>
    <row r="7" ht="45" customHeight="1">
      <c r="A7" s="35" t="inlineStr">
        <is>
          <t>What are your best and worst memories?</t>
        </is>
      </c>
      <c r="B7" s="33" t="n"/>
      <c r="C7" s="5" t="n"/>
      <c r="D7" s="5" t="n"/>
      <c r="E7" s="5" t="n"/>
      <c r="F7" s="5" t="n"/>
      <c r="G7" s="5" t="n"/>
      <c r="H7" s="5" t="n"/>
      <c r="I7" s="5" t="n"/>
    </row>
    <row r="8" ht="45" customHeight="1">
      <c r="A8" s="35" t="inlineStr">
        <is>
          <t>What are your religious beliefs?</t>
        </is>
      </c>
      <c r="B8" s="33" t="n"/>
      <c r="C8" s="5" t="n"/>
      <c r="D8" s="5" t="n"/>
      <c r="E8" s="5" t="n"/>
      <c r="F8" s="5" t="n"/>
      <c r="G8" s="5" t="n"/>
      <c r="H8" s="5" t="n"/>
      <c r="I8" s="5" t="n"/>
    </row>
    <row r="9" ht="45" customHeight="1">
      <c r="A9" s="35" t="inlineStr">
        <is>
          <t>To whom, or what, are you loyal?</t>
        </is>
      </c>
      <c r="B9" s="33" t="n"/>
      <c r="C9" s="5" t="n"/>
      <c r="D9" s="5" t="n"/>
      <c r="E9" s="5" t="n"/>
      <c r="F9" s="5" t="n"/>
      <c r="G9" s="5" t="n"/>
      <c r="H9" s="5" t="n"/>
      <c r="I9" s="5" t="n"/>
    </row>
    <row r="10" ht="45" customHeight="1">
      <c r="A10" s="35" t="inlineStr">
        <is>
          <t>What have you been doing lately?</t>
        </is>
      </c>
      <c r="B10" s="33" t="n"/>
      <c r="C10" s="5" t="n"/>
      <c r="D10" s="5" t="n"/>
      <c r="E10" s="5" t="n"/>
      <c r="F10" s="5" t="n"/>
      <c r="G10" s="5" t="n"/>
      <c r="H10" s="5" t="n"/>
      <c r="I10" s="5" t="n"/>
    </row>
    <row r="11"/>
    <row r="12">
      <c r="A12" s="7" t="inlineStr">
        <is>
          <t>PSYCHOLOGY &amp; MUTATIONS</t>
        </is>
      </c>
    </row>
    <row r="13">
      <c r="A13" s="33" t="n"/>
      <c r="B13" s="5" t="n"/>
      <c r="C13" s="5" t="n"/>
      <c r="D13" s="5" t="n"/>
      <c r="E13" s="5" t="n"/>
      <c r="F13" s="5" t="n"/>
      <c r="G13" s="5" t="n"/>
      <c r="H13" s="5" t="n"/>
      <c r="I13" s="5" t="n"/>
    </row>
    <row r="14">
      <c r="A14" s="5" t="n"/>
      <c r="B14" s="5" t="n"/>
      <c r="C14" s="5" t="n"/>
      <c r="D14" s="5" t="n"/>
      <c r="E14" s="5" t="n"/>
      <c r="F14" s="5" t="n"/>
      <c r="G14" s="5" t="n"/>
      <c r="H14" s="5" t="n"/>
      <c r="I14" s="5" t="n"/>
    </row>
    <row r="15">
      <c r="A15" s="5" t="n"/>
      <c r="B15" s="5" t="n"/>
      <c r="C15" s="5" t="n"/>
      <c r="D15" s="5" t="n"/>
      <c r="E15" s="5" t="n"/>
      <c r="F15" s="5" t="n"/>
      <c r="G15" s="5" t="n"/>
      <c r="H15" s="5" t="n"/>
      <c r="I15" s="5" t="n"/>
    </row>
    <row r="16">
      <c r="A16" s="5" t="n"/>
      <c r="B16" s="5" t="n"/>
      <c r="C16" s="5" t="n"/>
      <c r="D16" s="5" t="n"/>
      <c r="E16" s="5" t="n"/>
      <c r="F16" s="5" t="n"/>
      <c r="G16" s="5" t="n"/>
      <c r="H16" s="5" t="n"/>
      <c r="I16" s="5" t="n"/>
    </row>
    <row r="17"/>
    <row r="18">
      <c r="A18" s="7" t="inlineStr">
        <is>
          <t>CONDITIONS, INJURIES &amp; DISEASES</t>
        </is>
      </c>
    </row>
    <row r="19">
      <c r="A19" s="33" t="n"/>
      <c r="B19" s="5" t="n"/>
      <c r="C19" s="5" t="n"/>
      <c r="D19" s="5" t="n"/>
      <c r="E19" s="5" t="n"/>
      <c r="F19" s="5" t="n"/>
      <c r="G19" s="5" t="n"/>
      <c r="H19" s="5" t="n"/>
      <c r="I19" s="5" t="n"/>
    </row>
    <row r="20">
      <c r="A20" s="5" t="n"/>
      <c r="B20" s="5" t="n"/>
      <c r="C20" s="5" t="n"/>
      <c r="D20" s="5" t="n"/>
      <c r="E20" s="5" t="n"/>
      <c r="F20" s="5" t="n"/>
      <c r="G20" s="5" t="n"/>
      <c r="H20" s="5" t="n"/>
      <c r="I20" s="5" t="n"/>
    </row>
    <row r="21">
      <c r="A21" s="5" t="n"/>
      <c r="B21" s="5" t="n"/>
      <c r="C21" s="5" t="n"/>
      <c r="D21" s="5" t="n"/>
      <c r="E21" s="5" t="n"/>
      <c r="F21" s="5" t="n"/>
      <c r="G21" s="5" t="n"/>
      <c r="H21" s="5" t="n"/>
      <c r="I21" s="5" t="n"/>
    </row>
    <row r="22">
      <c r="A22" s="5" t="n"/>
      <c r="B22" s="5" t="n"/>
      <c r="C22" s="5" t="n"/>
      <c r="D22" s="5" t="n"/>
      <c r="E22" s="5" t="n"/>
      <c r="F22" s="5" t="n"/>
      <c r="G22" s="5" t="n"/>
      <c r="H22" s="5" t="n"/>
      <c r="I22" s="5" t="n"/>
    </row>
    <row r="23"/>
    <row r="24">
      <c r="A24" s="7" t="inlineStr">
        <is>
          <t>CONTACTS, ALLIES &amp; ENEMIES</t>
        </is>
      </c>
    </row>
    <row r="25">
      <c r="A25" s="33" t="n"/>
      <c r="B25" s="5" t="n"/>
      <c r="C25" s="5" t="n"/>
      <c r="D25" s="5" t="n"/>
      <c r="E25" s="5" t="n"/>
      <c r="F25" s="5" t="n"/>
      <c r="G25" s="5" t="n"/>
      <c r="H25" s="5" t="n"/>
      <c r="I25" s="5" t="n"/>
    </row>
    <row r="26">
      <c r="A26" s="5" t="n"/>
      <c r="B26" s="5" t="n"/>
      <c r="C26" s="5" t="n"/>
      <c r="D26" s="5" t="n"/>
      <c r="E26" s="5" t="n"/>
      <c r="F26" s="5" t="n"/>
      <c r="G26" s="5" t="n"/>
      <c r="H26" s="5" t="n"/>
      <c r="I26" s="5" t="n"/>
    </row>
    <row r="27">
      <c r="A27" s="5" t="n"/>
      <c r="B27" s="5" t="n"/>
      <c r="C27" s="5" t="n"/>
      <c r="D27" s="5" t="n"/>
      <c r="E27" s="5" t="n"/>
      <c r="F27" s="5" t="n"/>
      <c r="G27" s="5" t="n"/>
      <c r="H27" s="5" t="n"/>
      <c r="I27" s="5" t="n"/>
    </row>
    <row r="28">
      <c r="A28" s="5" t="n"/>
      <c r="B28" s="5" t="n"/>
      <c r="C28" s="5" t="n"/>
      <c r="D28" s="5" t="n"/>
      <c r="E28" s="5" t="n"/>
      <c r="F28" s="5" t="n"/>
      <c r="G28" s="5" t="n"/>
      <c r="H28" s="5" t="n"/>
      <c r="I28" s="5" t="n"/>
    </row>
    <row r="29"/>
    <row r="30">
      <c r="A30" s="7" t="inlineStr">
        <is>
          <t>NOTES</t>
        </is>
      </c>
    </row>
    <row r="31">
      <c r="A31" s="33" t="n"/>
      <c r="B31" s="5" t="n"/>
      <c r="C31" s="5" t="n"/>
      <c r="D31" s="5" t="n"/>
      <c r="E31" s="5" t="n"/>
      <c r="F31" s="5" t="n"/>
      <c r="G31" s="5" t="n"/>
      <c r="H31" s="5" t="n"/>
      <c r="I31" s="5" t="n"/>
    </row>
    <row r="32">
      <c r="A32" s="5" t="n"/>
      <c r="B32" s="5" t="n"/>
      <c r="C32" s="5" t="n"/>
      <c r="D32" s="5" t="n"/>
      <c r="E32" s="5" t="n"/>
      <c r="F32" s="5" t="n"/>
      <c r="G32" s="5" t="n"/>
      <c r="H32" s="5" t="n"/>
      <c r="I32" s="5" t="n"/>
    </row>
    <row r="33">
      <c r="A33" s="5" t="n"/>
      <c r="B33" s="5" t="n"/>
      <c r="C33" s="5" t="n"/>
      <c r="D33" s="5" t="n"/>
      <c r="E33" s="5" t="n"/>
      <c r="F33" s="5" t="n"/>
      <c r="G33" s="5" t="n"/>
      <c r="H33" s="5" t="n"/>
      <c r="I33" s="5" t="n"/>
    </row>
    <row r="34">
      <c r="A34" s="5" t="n"/>
      <c r="B34" s="5" t="n"/>
      <c r="C34" s="5" t="n"/>
      <c r="D34" s="5" t="n"/>
      <c r="E34" s="5" t="n"/>
      <c r="F34" s="5" t="n"/>
      <c r="G34" s="5" t="n"/>
      <c r="H34" s="5" t="n"/>
      <c r="I34" s="5" t="n"/>
    </row>
  </sheetData>
  <mergeCells count="17">
    <mergeCell ref="B9:I9"/>
    <mergeCell ref="B7:I7"/>
    <mergeCell ref="B6:I6"/>
    <mergeCell ref="A25:I28"/>
    <mergeCell ref="A19:I22"/>
    <mergeCell ref="B10:I10"/>
    <mergeCell ref="A1:I1"/>
    <mergeCell ref="A31:I34"/>
    <mergeCell ref="A18:I18"/>
    <mergeCell ref="B5:I5"/>
    <mergeCell ref="A13:I16"/>
    <mergeCell ref="A3:I3"/>
    <mergeCell ref="A30:I30"/>
    <mergeCell ref="A12:I12"/>
    <mergeCell ref="B8:I8"/>
    <mergeCell ref="A24:I24"/>
    <mergeCell ref="B4:I4"/>
  </mergeCells>
  <pageMargins left="0.75" right="0.75" top="1" bottom="1" header="0.5" footer="0.5"/>
</worksheet>
</file>

<file path=xl/worksheets/sheet6.xml><?xml version="1.0" encoding="utf-8"?>
<worksheet xmlns="http://schemas.openxmlformats.org/spreadsheetml/2006/main">
  <sheetPr>
    <tabColor rgb="00808080"/>
    <outlinePr summaryBelow="1" summaryRight="1"/>
    <pageSetUpPr/>
  </sheetPr>
  <dimension ref="A1:AJ65"/>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8" customWidth="1" min="10" max="10"/>
    <col width="14" customWidth="1" min="12" max="12"/>
    <col width="10" customWidth="1" min="13" max="13"/>
    <col width="8" customWidth="1" min="15" max="15"/>
    <col width="14" customWidth="1" min="17" max="17"/>
    <col width="10" customWidth="1" min="18" max="18"/>
    <col width="12" customWidth="1" min="20" max="20"/>
    <col width="18" customWidth="1" min="22" max="22"/>
    <col width="10" customWidth="1" min="23" max="23"/>
    <col width="14" customWidth="1" min="25" max="25"/>
    <col width="10" customWidth="1" min="26" max="26"/>
    <col width="12" customWidth="1" min="28" max="28"/>
    <col width="10" customWidth="1" min="29" max="29"/>
    <col width="12" customWidth="1" min="31" max="31"/>
    <col width="10" customWidth="1" min="32" max="32"/>
    <col width="10" customWidth="1" min="33" max="33"/>
    <col width="10" customWidth="1" min="35" max="35"/>
    <col width="10" customWidth="1" min="36" max="36"/>
  </cols>
  <sheetData>
    <row r="1">
      <c r="A1" s="36" t="inlineStr">
        <is>
          <t>Species</t>
        </is>
      </c>
      <c r="B1" s="36" t="inlineStr">
        <is>
          <t>Fate</t>
        </is>
      </c>
      <c r="C1" s="36" t="inlineStr">
        <is>
          <t>Fortune</t>
        </is>
      </c>
      <c r="D1" s="36" t="inlineStr">
        <is>
          <t>Move</t>
        </is>
      </c>
      <c r="E1" s="36" t="inlineStr">
        <is>
          <t>Fluent languages (+30)</t>
        </is>
      </c>
      <c r="F1" s="36" t="inlineStr">
        <is>
          <t>Species skills (pick 5)</t>
        </is>
      </c>
      <c r="G1" s="36" t="inlineStr">
        <is>
          <t>Species talents</t>
        </is>
      </c>
      <c r="H1" s="36" t="inlineStr">
        <is>
          <t>Random talents</t>
        </is>
      </c>
      <c r="J1" s="36" t="inlineStr">
        <is>
          <t>Career</t>
        </is>
      </c>
      <c r="L1" s="36" t="inlineStr">
        <is>
          <t>Class</t>
        </is>
      </c>
      <c r="M1" s="36" t="inlineStr">
        <is>
          <t>Class trappings</t>
        </is>
      </c>
      <c r="O1" s="36" t="inlineStr">
        <is>
          <t>Yes/No</t>
        </is>
      </c>
      <c r="Q1" s="36" t="inlineStr">
        <is>
          <t>Location</t>
        </is>
      </c>
      <c r="R1" s="36" t="inlineStr">
        <is>
          <t>Capacity</t>
        </is>
      </c>
      <c r="T1" s="36" t="inlineStr">
        <is>
          <t>Availability</t>
        </is>
      </c>
      <c r="V1" s="36" t="inlineStr">
        <is>
          <t>Career entered as</t>
        </is>
      </c>
      <c r="W1" s="36" t="inlineStr">
        <is>
          <t>XP</t>
        </is>
      </c>
      <c r="Y1" s="36" t="inlineStr">
        <is>
          <t>Lore</t>
        </is>
      </c>
      <c r="Z1" s="36" t="inlineStr">
        <is>
          <t>Wind</t>
        </is>
      </c>
      <c r="AB1" s="36" t="inlineStr">
        <is>
          <t>Deity</t>
        </is>
      </c>
      <c r="AC1" s="36" t="inlineStr">
        <is>
          <t>Blessings</t>
        </is>
      </c>
      <c r="AE1" s="36" t="inlineStr">
        <is>
          <t>Advance (+)</t>
        </is>
      </c>
      <c r="AF1" s="36" t="inlineStr">
        <is>
          <t>Char XP (total)</t>
        </is>
      </c>
      <c r="AG1" s="36" t="inlineStr">
        <is>
          <t>Skill XP (total)</t>
        </is>
      </c>
      <c r="AI1" s="36" t="inlineStr">
        <is>
          <t>d100 up to</t>
        </is>
      </c>
      <c r="AJ1" s="36" t="inlineStr">
        <is>
          <t>Random talent</t>
        </is>
      </c>
    </row>
    <row r="2">
      <c r="A2" t="inlineStr">
        <is>
          <t>Human (Reiklander)</t>
        </is>
      </c>
      <c r="B2" t="n">
        <v>4</v>
      </c>
      <c r="C2" t="n">
        <v>3</v>
      </c>
      <c r="D2" t="n">
        <v>4</v>
      </c>
      <c r="E2" t="inlineStr">
        <is>
          <t>Language (Reikspiel)</t>
        </is>
      </c>
      <c r="F2" t="inlineStr">
        <is>
          <t>Animal Care, Charm, Cool, Evaluate, Gossip, Haggle, Language (Bretonnian), Language (Wastelander), Leadership, Lore (Reikland), Melee (Basic), Ranged (Bow)</t>
        </is>
      </c>
      <c r="G2" t="inlineStr">
        <is>
          <t>Doomed</t>
        </is>
      </c>
      <c r="H2" t="n">
        <v>4</v>
      </c>
      <c r="J2" t="inlineStr">
        <is>
          <t>Adviser</t>
        </is>
      </c>
      <c r="L2" t="inlineStr">
        <is>
          <t>Academic</t>
        </is>
      </c>
      <c r="M2" t="inlineStr">
        <is>
          <t>Sling Bag, Writing Kit, Parchment (1d10 sheets)</t>
        </is>
      </c>
      <c r="O2" t="inlineStr">
        <is>
          <t>Yes</t>
        </is>
      </c>
      <c r="Q2" t="inlineStr">
        <is>
          <t>Worn</t>
        </is>
      </c>
      <c r="R2" t="inlineStr"/>
      <c r="T2" t="inlineStr">
        <is>
          <t>Common</t>
        </is>
      </c>
      <c r="V2" t="inlineStr">
        <is>
          <t>Starting career</t>
        </is>
      </c>
      <c r="W2" t="n">
        <v>0</v>
      </c>
      <c r="Y2" t="inlineStr">
        <is>
          <t>Beasts</t>
        </is>
      </c>
      <c r="Z2" t="inlineStr">
        <is>
          <t>Ghur</t>
        </is>
      </c>
      <c r="AB2" t="inlineStr">
        <is>
          <t>Manann</t>
        </is>
      </c>
      <c r="AC2" t="inlineStr">
        <is>
          <t>Battle, Breath, Courage, Hardiness, Savagery, Tenacity</t>
        </is>
      </c>
      <c r="AE2" t="n">
        <v>0</v>
      </c>
      <c r="AF2" t="n">
        <v>0</v>
      </c>
      <c r="AG2" t="n">
        <v>0</v>
      </c>
      <c r="AI2" t="n">
        <v>2</v>
      </c>
      <c r="AJ2" t="inlineStr">
        <is>
          <t>Acute Sense (Sight)</t>
        </is>
      </c>
    </row>
    <row r="3">
      <c r="A3" t="inlineStr">
        <is>
          <t>Dwarf</t>
        </is>
      </c>
      <c r="B3" t="n">
        <v>2</v>
      </c>
      <c r="C3" t="n">
        <v>2</v>
      </c>
      <c r="D3" t="n">
        <v>3</v>
      </c>
      <c r="E3" t="inlineStr">
        <is>
          <t>Language (Khazalid), Language (Reikspiel)</t>
        </is>
      </c>
      <c r="F3" t="inlineStr">
        <is>
          <t>Consume Alcohol, Cool, Endurance, Entertain (Storytelling), Evaluate, Intimidate, Lore (Dwarfs), Lore (Geology), Lore (Metallurgy), Melee (Basic), Trade (Any One)</t>
        </is>
      </c>
      <c r="G3" t="inlineStr">
        <is>
          <t>Magic Resistance, Night Vision, Read/Write or Relentless, Resolute or Strong-minded, Sturdy</t>
        </is>
      </c>
      <c r="H3" t="n">
        <v>0</v>
      </c>
      <c r="J3" t="inlineStr">
        <is>
          <t>Agitator</t>
        </is>
      </c>
      <c r="L3" t="inlineStr">
        <is>
          <t>Burgher</t>
        </is>
      </c>
      <c r="M3" t="inlineStr">
        <is>
          <t>Cloak, Hat, Sling Bag, Lunch</t>
        </is>
      </c>
      <c r="O3" t="inlineStr">
        <is>
          <t>No</t>
        </is>
      </c>
      <c r="Q3" t="inlineStr">
        <is>
          <t>Carried</t>
        </is>
      </c>
      <c r="R3" t="inlineStr"/>
      <c r="T3" t="inlineStr">
        <is>
          <t>Scarce</t>
        </is>
      </c>
      <c r="V3" t="inlineStr">
        <is>
          <t>Same class</t>
        </is>
      </c>
      <c r="W3" t="n">
        <v>100</v>
      </c>
      <c r="Y3" t="inlineStr">
        <is>
          <t>Death</t>
        </is>
      </c>
      <c r="Z3" t="inlineStr">
        <is>
          <t>Shyish</t>
        </is>
      </c>
      <c r="AB3" t="inlineStr">
        <is>
          <t>Morr</t>
        </is>
      </c>
      <c r="AC3" t="inlineStr">
        <is>
          <t>Breath, Courage, Fortune, Righteousness, Tenacity, Wisdom</t>
        </is>
      </c>
      <c r="AE3" t="n">
        <v>5</v>
      </c>
      <c r="AF3" t="n">
        <v>125</v>
      </c>
      <c r="AG3" t="n">
        <v>50</v>
      </c>
      <c r="AI3" t="n">
        <v>5</v>
      </c>
      <c r="AJ3" t="inlineStr">
        <is>
          <t>Ambidextrous</t>
        </is>
      </c>
    </row>
    <row r="4">
      <c r="A4" t="inlineStr">
        <is>
          <t>Halfling</t>
        </is>
      </c>
      <c r="B4" t="n">
        <v>2</v>
      </c>
      <c r="C4" t="n">
        <v>3</v>
      </c>
      <c r="D4" t="n">
        <v>3</v>
      </c>
      <c r="E4" t="inlineStr">
        <is>
          <t>Language (Haffennaff), Language (Reikspiel)</t>
        </is>
      </c>
      <c r="F4" t="inlineStr">
        <is>
          <t>Charm, Consume Alcohol, Dodge, Gamble, Haggle, Intuition, Lore (Reikland), Perception, Sleight of Hand, Stealth (Any One), Trade (Cook)</t>
        </is>
      </c>
      <c r="G4" t="inlineStr">
        <is>
          <t>Acute Sense (Taste), Night Vision, Resistant (Chaos)</t>
        </is>
      </c>
      <c r="H4" t="n">
        <v>2</v>
      </c>
      <c r="J4" t="inlineStr">
        <is>
          <t>Apothecary</t>
        </is>
      </c>
      <c r="L4" t="inlineStr">
        <is>
          <t>Courtier</t>
        </is>
      </c>
      <c r="M4" t="inlineStr">
        <is>
          <t>Fine Clothing, Tweezers, Ear Pick, Comb</t>
        </is>
      </c>
      <c r="Q4" t="inlineStr">
        <is>
          <t>Backpack</t>
        </is>
      </c>
      <c r="R4" t="n">
        <v>4</v>
      </c>
      <c r="T4" t="inlineStr">
        <is>
          <t>Rare</t>
        </is>
      </c>
      <c r="V4" t="inlineStr">
        <is>
          <t>Different class</t>
        </is>
      </c>
      <c r="W4" t="n">
        <v>200</v>
      </c>
      <c r="Y4" t="inlineStr">
        <is>
          <t>Fire</t>
        </is>
      </c>
      <c r="Z4" t="inlineStr">
        <is>
          <t>Aqshy</t>
        </is>
      </c>
      <c r="AB4" t="inlineStr">
        <is>
          <t>Myrmidia</t>
        </is>
      </c>
      <c r="AC4" t="inlineStr">
        <is>
          <t>Battle, Conscience, Courage, Fortune, Protection, Righteousness</t>
        </is>
      </c>
      <c r="AE4" t="n">
        <v>10</v>
      </c>
      <c r="AF4" t="n">
        <v>300</v>
      </c>
      <c r="AG4" t="n">
        <v>125</v>
      </c>
      <c r="AI4" t="n">
        <v>7</v>
      </c>
      <c r="AJ4" t="inlineStr">
        <is>
          <t>Artistic (Any One)</t>
        </is>
      </c>
    </row>
    <row r="5">
      <c r="A5" t="inlineStr">
        <is>
          <t>High Elf</t>
        </is>
      </c>
      <c r="B5" t="n">
        <v>1</v>
      </c>
      <c r="C5" t="n">
        <v>2</v>
      </c>
      <c r="D5" t="n">
        <v>5</v>
      </c>
      <c r="E5" t="inlineStr">
        <is>
          <t>Language (Eltharin), Language (Reikspiel)</t>
        </is>
      </c>
      <c r="F5" t="inlineStr">
        <is>
          <t>Cool, Entertain (Sing), Evaluate, Leadership, Melee (Basic), Navigation, Perception, Play (Any One), Ranged (Bow), Sail, Swim</t>
        </is>
      </c>
      <c r="G5" t="inlineStr">
        <is>
          <t>Acute Sense (Sight), Coolheaded or Savvy, Night Vision, Second Sight or Sixth Sense, Read/Write</t>
        </is>
      </c>
      <c r="H5" t="n">
        <v>0</v>
      </c>
      <c r="J5" t="inlineStr">
        <is>
          <t>Artisan</t>
        </is>
      </c>
      <c r="L5" t="inlineStr">
        <is>
          <t>Peasant</t>
        </is>
      </c>
      <c r="M5" t="inlineStr">
        <is>
          <t>Cloak, Sling Bag, Rations (1 day)</t>
        </is>
      </c>
      <c r="Q5" t="inlineStr">
        <is>
          <t>Sling Bag</t>
        </is>
      </c>
      <c r="R5" t="n">
        <v>2</v>
      </c>
      <c r="T5" t="inlineStr">
        <is>
          <t>Exotic</t>
        </is>
      </c>
      <c r="Y5" t="inlineStr">
        <is>
          <t>Heavens</t>
        </is>
      </c>
      <c r="Z5" t="inlineStr">
        <is>
          <t>Azyr</t>
        </is>
      </c>
      <c r="AB5" t="inlineStr">
        <is>
          <t>Ranald</t>
        </is>
      </c>
      <c r="AC5" t="inlineStr">
        <is>
          <t>Charisma, Conscience, Finesse, Fortune, Protection, Wit</t>
        </is>
      </c>
      <c r="AE5" t="n">
        <v>15</v>
      </c>
      <c r="AF5" t="n">
        <v>550</v>
      </c>
      <c r="AG5" t="n">
        <v>225</v>
      </c>
      <c r="AI5" t="n">
        <v>10</v>
      </c>
      <c r="AJ5" t="inlineStr">
        <is>
          <t>Attractive</t>
        </is>
      </c>
    </row>
    <row r="6">
      <c r="A6" t="inlineStr">
        <is>
          <t>Wood Elf</t>
        </is>
      </c>
      <c r="B6" t="n">
        <v>1</v>
      </c>
      <c r="C6" t="n">
        <v>2</v>
      </c>
      <c r="D6" t="n">
        <v>5</v>
      </c>
      <c r="E6" t="inlineStr">
        <is>
          <t>Language (Eltharin), Language (Reikspiel)</t>
        </is>
      </c>
      <c r="F6" t="inlineStr">
        <is>
          <t>Athletics, Climb, Endurance, Entertain (Sing), Intimidate, Melee (Basic), Outdoor Survival, Perception, Ranged (Bow), Stealth (Rural), Track</t>
        </is>
      </c>
      <c r="G6" t="inlineStr">
        <is>
          <t>Acute Sense (Sight), Hardy or Second Sight, Night Vision, Read/Write or Very Resilient, Rover</t>
        </is>
      </c>
      <c r="H6" t="n">
        <v>0</v>
      </c>
      <c r="J6" t="inlineStr">
        <is>
          <t>Artist</t>
        </is>
      </c>
      <c r="L6" t="inlineStr">
        <is>
          <t>Ranger</t>
        </is>
      </c>
      <c r="M6" t="inlineStr">
        <is>
          <t>Cloak, Backpack, Tinderbox, Blanket, Rations (1 day)</t>
        </is>
      </c>
      <c r="Q6" t="inlineStr">
        <is>
          <t>Pouch</t>
        </is>
      </c>
      <c r="R6" t="n">
        <v>1</v>
      </c>
      <c r="Y6" t="inlineStr">
        <is>
          <t>Life</t>
        </is>
      </c>
      <c r="Z6" t="inlineStr">
        <is>
          <t>Ghyran</t>
        </is>
      </c>
      <c r="AB6" t="inlineStr">
        <is>
          <t>Rhya</t>
        </is>
      </c>
      <c r="AC6" t="inlineStr">
        <is>
          <t>Breath, Conscience, Grace, Healing, Protection, Recuperation</t>
        </is>
      </c>
      <c r="AE6" t="n">
        <v>20</v>
      </c>
      <c r="AF6" t="n">
        <v>900</v>
      </c>
      <c r="AG6" t="n">
        <v>375</v>
      </c>
      <c r="AI6" t="n">
        <v>12</v>
      </c>
      <c r="AJ6" t="inlineStr">
        <is>
          <t>Briber</t>
        </is>
      </c>
    </row>
    <row r="7">
      <c r="J7" t="inlineStr">
        <is>
          <t>Bailiff</t>
        </is>
      </c>
      <c r="L7" t="inlineStr">
        <is>
          <t>Riverfolk</t>
        </is>
      </c>
      <c r="M7" t="inlineStr">
        <is>
          <t>Cloak, Sling Bag, Flask of Spirits</t>
        </is>
      </c>
      <c r="Q7" t="inlineStr">
        <is>
          <t>Sack</t>
        </is>
      </c>
      <c r="R7" t="n">
        <v>4</v>
      </c>
      <c r="Y7" t="inlineStr">
        <is>
          <t>Light</t>
        </is>
      </c>
      <c r="Z7" t="inlineStr">
        <is>
          <t>Hysh</t>
        </is>
      </c>
      <c r="AB7" t="inlineStr">
        <is>
          <t>Shallya</t>
        </is>
      </c>
      <c r="AC7" t="inlineStr">
        <is>
          <t>Breath, Conscience, Healing, Protection, Recuperation, Tenacity</t>
        </is>
      </c>
      <c r="AE7" t="n">
        <v>25</v>
      </c>
      <c r="AF7" t="n">
        <v>1400</v>
      </c>
      <c r="AG7" t="n">
        <v>625</v>
      </c>
      <c r="AI7" t="n">
        <v>15</v>
      </c>
      <c r="AJ7" t="inlineStr">
        <is>
          <t>Cardsharp</t>
        </is>
      </c>
    </row>
    <row r="8">
      <c r="J8" t="inlineStr">
        <is>
          <t>Beggar</t>
        </is>
      </c>
      <c r="L8" t="inlineStr">
        <is>
          <t>Rogue</t>
        </is>
      </c>
      <c r="M8" t="inlineStr">
        <is>
          <t>Sling Bag, Candles (2), Matches (1d10), Hood or Mask</t>
        </is>
      </c>
      <c r="Q8" t="inlineStr">
        <is>
          <t>Large Sack</t>
        </is>
      </c>
      <c r="R8" t="n">
        <v>6</v>
      </c>
      <c r="Y8" t="inlineStr">
        <is>
          <t>Metal</t>
        </is>
      </c>
      <c r="Z8" t="inlineStr">
        <is>
          <t>Chamon</t>
        </is>
      </c>
      <c r="AB8" t="inlineStr">
        <is>
          <t>Sigmar</t>
        </is>
      </c>
      <c r="AC8" t="inlineStr">
        <is>
          <t>Battle, Courage, Hardiness, Might, Protection, Righteousness</t>
        </is>
      </c>
      <c r="AE8" t="n">
        <v>30</v>
      </c>
      <c r="AF8" t="n">
        <v>2100</v>
      </c>
      <c r="AG8" t="n">
        <v>1025</v>
      </c>
      <c r="AI8" t="n">
        <v>17</v>
      </c>
      <c r="AJ8" t="inlineStr">
        <is>
          <t>Catfall</t>
        </is>
      </c>
    </row>
    <row r="9">
      <c r="J9" t="inlineStr">
        <is>
          <t>Boatman</t>
        </is>
      </c>
      <c r="L9" t="inlineStr">
        <is>
          <t>Warrior</t>
        </is>
      </c>
      <c r="M9" t="inlineStr">
        <is>
          <t>Hand Weapon</t>
        </is>
      </c>
      <c r="Q9" t="inlineStr">
        <is>
          <t>Saddlebags</t>
        </is>
      </c>
      <c r="R9" t="n">
        <v>8</v>
      </c>
      <c r="Y9" t="inlineStr">
        <is>
          <t>Shadows</t>
        </is>
      </c>
      <c r="Z9" t="inlineStr">
        <is>
          <t>Ulgu</t>
        </is>
      </c>
      <c r="AB9" t="inlineStr">
        <is>
          <t>Taal</t>
        </is>
      </c>
      <c r="AC9" t="inlineStr">
        <is>
          <t>Battle, Breath, Conscience, Hardiness, The Hunt, Savagery</t>
        </is>
      </c>
      <c r="AE9" t="n">
        <v>35</v>
      </c>
      <c r="AF9" t="n">
        <v>3050</v>
      </c>
      <c r="AG9" t="n">
        <v>1625</v>
      </c>
      <c r="AI9" t="n">
        <v>20</v>
      </c>
      <c r="AJ9" t="inlineStr">
        <is>
          <t>Coolheaded</t>
        </is>
      </c>
    </row>
    <row r="10">
      <c r="J10" t="inlineStr">
        <is>
          <t>Bounty Hunter</t>
        </is>
      </c>
      <c r="Q10" t="inlineStr">
        <is>
          <t>Mount / Cart</t>
        </is>
      </c>
      <c r="R10" t="inlineStr"/>
      <c r="Y10" t="inlineStr">
        <is>
          <t>Hedgecraft</t>
        </is>
      </c>
      <c r="Z10" t="inlineStr"/>
      <c r="AB10" t="inlineStr">
        <is>
          <t>Ulric</t>
        </is>
      </c>
      <c r="AC10" t="inlineStr">
        <is>
          <t>Battle, Courage, Hardiness, Might, Savagery, Tenacity</t>
        </is>
      </c>
      <c r="AE10" t="n">
        <v>40</v>
      </c>
      <c r="AF10" t="n">
        <v>4350</v>
      </c>
      <c r="AG10" t="n">
        <v>2475</v>
      </c>
      <c r="AI10" t="n">
        <v>22</v>
      </c>
      <c r="AJ10" t="inlineStr">
        <is>
          <t>Contortionist</t>
        </is>
      </c>
    </row>
    <row r="11">
      <c r="J11" t="inlineStr">
        <is>
          <t>Cavalryman</t>
        </is>
      </c>
      <c r="Q11" t="inlineStr">
        <is>
          <t>Stored</t>
        </is>
      </c>
      <c r="R11" t="inlineStr"/>
      <c r="Y11" t="inlineStr">
        <is>
          <t>Witchcraft</t>
        </is>
      </c>
      <c r="Z11" t="inlineStr"/>
      <c r="AB11" t="inlineStr">
        <is>
          <t>Verena</t>
        </is>
      </c>
      <c r="AC11" t="inlineStr">
        <is>
          <t>Conscience, Courage, Fortune, Righteousness, Wisdom, Wit</t>
        </is>
      </c>
      <c r="AE11" t="n">
        <v>45</v>
      </c>
      <c r="AF11" t="n">
        <v>6150</v>
      </c>
      <c r="AG11" t="n">
        <v>3325</v>
      </c>
      <c r="AI11" t="n">
        <v>25</v>
      </c>
      <c r="AJ11" t="inlineStr">
        <is>
          <t>Flee!</t>
        </is>
      </c>
    </row>
    <row r="12">
      <c r="J12" t="inlineStr">
        <is>
          <t>Charlatan</t>
        </is>
      </c>
      <c r="Y12" t="inlineStr">
        <is>
          <t>Daemonology</t>
        </is>
      </c>
      <c r="Z12" t="inlineStr"/>
      <c r="AE12" t="n">
        <v>50</v>
      </c>
      <c r="AF12" t="n">
        <v>8700</v>
      </c>
      <c r="AG12" t="n">
        <v>5025</v>
      </c>
      <c r="AI12" t="n">
        <v>27</v>
      </c>
      <c r="AJ12" t="inlineStr">
        <is>
          <t>Gregarious</t>
        </is>
      </c>
    </row>
    <row r="13">
      <c r="J13" t="inlineStr">
        <is>
          <t>Coachman</t>
        </is>
      </c>
      <c r="Y13" t="inlineStr">
        <is>
          <t>Necromancy</t>
        </is>
      </c>
      <c r="Z13" t="inlineStr"/>
      <c r="AE13" t="n">
        <v>55</v>
      </c>
      <c r="AF13" t="n">
        <v>12300</v>
      </c>
      <c r="AG13" t="n">
        <v>7525</v>
      </c>
      <c r="AI13" t="n">
        <v>30</v>
      </c>
      <c r="AJ13" t="inlineStr">
        <is>
          <t>Iron Jaw</t>
        </is>
      </c>
    </row>
    <row r="14">
      <c r="J14" t="inlineStr">
        <is>
          <t>Duellist</t>
        </is>
      </c>
      <c r="Y14" t="inlineStr">
        <is>
          <t>Nurgle</t>
        </is>
      </c>
      <c r="Z14" t="inlineStr"/>
      <c r="AE14" t="n">
        <v>60</v>
      </c>
      <c r="AF14" t="n">
        <v>17325</v>
      </c>
      <c r="AG14" t="n">
        <v>11025</v>
      </c>
      <c r="AI14" t="n">
        <v>32</v>
      </c>
      <c r="AJ14" t="inlineStr">
        <is>
          <t>Lightning Reflexes</t>
        </is>
      </c>
    </row>
    <row r="15">
      <c r="J15" t="inlineStr">
        <is>
          <t>Engineer</t>
        </is>
      </c>
      <c r="Y15" t="inlineStr">
        <is>
          <t>Slaanesh</t>
        </is>
      </c>
      <c r="Z15" t="inlineStr"/>
      <c r="AE15" t="n">
        <v>65</v>
      </c>
      <c r="AF15" t="n">
        <v>24275</v>
      </c>
      <c r="AG15" t="n">
        <v>15775</v>
      </c>
      <c r="AI15" t="n">
        <v>35</v>
      </c>
      <c r="AJ15" t="inlineStr">
        <is>
          <t>Linguistics</t>
        </is>
      </c>
    </row>
    <row r="16">
      <c r="J16" t="inlineStr">
        <is>
          <t>Entertainer</t>
        </is>
      </c>
      <c r="Y16" t="inlineStr">
        <is>
          <t>Tzeentch</t>
        </is>
      </c>
      <c r="Z16" t="inlineStr"/>
      <c r="AE16" t="n">
        <v>70</v>
      </c>
      <c r="AF16" t="n">
        <v>33275</v>
      </c>
      <c r="AG16" t="n">
        <v>22275</v>
      </c>
      <c r="AI16" t="n">
        <v>37</v>
      </c>
      <c r="AJ16" t="inlineStr">
        <is>
          <t>Marksman</t>
        </is>
      </c>
    </row>
    <row r="17">
      <c r="J17" t="inlineStr">
        <is>
          <t>Envoy</t>
        </is>
      </c>
      <c r="AE17" t="n">
        <v>75</v>
      </c>
      <c r="AF17" t="n">
        <v>44525</v>
      </c>
      <c r="AG17" t="n">
        <v>30775</v>
      </c>
      <c r="AI17" t="n">
        <v>40</v>
      </c>
      <c r="AJ17" t="inlineStr">
        <is>
          <t>Mimic</t>
        </is>
      </c>
    </row>
    <row r="18">
      <c r="J18" t="inlineStr">
        <is>
          <t>Fence</t>
        </is>
      </c>
      <c r="AI18" t="n">
        <v>42</v>
      </c>
      <c r="AJ18" t="inlineStr">
        <is>
          <t>Night Vision</t>
        </is>
      </c>
    </row>
    <row r="19">
      <c r="J19" t="inlineStr">
        <is>
          <t>Flagellant</t>
        </is>
      </c>
      <c r="AI19" t="n">
        <v>45</v>
      </c>
      <c r="AJ19" t="inlineStr">
        <is>
          <t>Nimble-fingered</t>
        </is>
      </c>
    </row>
    <row r="20">
      <c r="J20" t="inlineStr">
        <is>
          <t>Grave Robber</t>
        </is>
      </c>
      <c r="AI20" t="n">
        <v>47</v>
      </c>
      <c r="AJ20" t="inlineStr">
        <is>
          <t>Noble Blood</t>
        </is>
      </c>
    </row>
    <row r="21">
      <c r="J21" t="inlineStr">
        <is>
          <t>Guard</t>
        </is>
      </c>
      <c r="AI21" t="n">
        <v>50</v>
      </c>
      <c r="AJ21" t="inlineStr">
        <is>
          <t>Nose for Trouble</t>
        </is>
      </c>
    </row>
    <row r="22">
      <c r="J22" t="inlineStr">
        <is>
          <t>Hedge Witch</t>
        </is>
      </c>
      <c r="AI22" t="n">
        <v>52</v>
      </c>
      <c r="AJ22" t="inlineStr">
        <is>
          <t>Orientation</t>
        </is>
      </c>
    </row>
    <row r="23">
      <c r="J23" t="inlineStr">
        <is>
          <t>Herbalist</t>
        </is>
      </c>
      <c r="AI23" t="n">
        <v>55</v>
      </c>
      <c r="AJ23" t="inlineStr">
        <is>
          <t>Perfect Pitch</t>
        </is>
      </c>
    </row>
    <row r="24">
      <c r="J24" t="inlineStr">
        <is>
          <t>Hunter</t>
        </is>
      </c>
      <c r="AI24" t="n">
        <v>57</v>
      </c>
      <c r="AJ24" t="inlineStr">
        <is>
          <t>Pure Soul</t>
        </is>
      </c>
    </row>
    <row r="25">
      <c r="J25" t="inlineStr">
        <is>
          <t>Investigator</t>
        </is>
      </c>
      <c r="AI25" t="n">
        <v>60</v>
      </c>
      <c r="AJ25" t="inlineStr">
        <is>
          <t>Read/Write</t>
        </is>
      </c>
    </row>
    <row r="26">
      <c r="J26" t="inlineStr">
        <is>
          <t>Knave</t>
        </is>
      </c>
      <c r="AI26" t="n">
        <v>62</v>
      </c>
      <c r="AJ26" t="inlineStr">
        <is>
          <t>Resistant (Poison)</t>
        </is>
      </c>
    </row>
    <row r="27">
      <c r="J27" t="inlineStr">
        <is>
          <t>Knight</t>
        </is>
      </c>
      <c r="AI27" t="n">
        <v>65</v>
      </c>
      <c r="AJ27" t="inlineStr">
        <is>
          <t>Rover</t>
        </is>
      </c>
    </row>
    <row r="28">
      <c r="J28" t="inlineStr">
        <is>
          <t>Lawyer</t>
        </is>
      </c>
      <c r="AI28" t="n">
        <v>67</v>
      </c>
      <c r="AJ28" t="inlineStr">
        <is>
          <t>Savvy</t>
        </is>
      </c>
    </row>
    <row r="29">
      <c r="J29" t="inlineStr">
        <is>
          <t>Merchant</t>
        </is>
      </c>
      <c r="AI29" t="n">
        <v>70</v>
      </c>
      <c r="AJ29" t="inlineStr">
        <is>
          <t>Sea Legs</t>
        </is>
      </c>
    </row>
    <row r="30">
      <c r="J30" t="inlineStr">
        <is>
          <t>Messenger</t>
        </is>
      </c>
      <c r="AI30" t="n">
        <v>72</v>
      </c>
      <c r="AJ30" t="inlineStr">
        <is>
          <t>Sharp</t>
        </is>
      </c>
    </row>
    <row r="31">
      <c r="J31" t="inlineStr">
        <is>
          <t>Miner</t>
        </is>
      </c>
      <c r="AI31" t="n">
        <v>75</v>
      </c>
      <c r="AJ31" t="inlineStr">
        <is>
          <t>Stone Soup</t>
        </is>
      </c>
    </row>
    <row r="32">
      <c r="J32" t="inlineStr">
        <is>
          <t>Mystic</t>
        </is>
      </c>
      <c r="AI32" t="n">
        <v>77</v>
      </c>
      <c r="AJ32" t="inlineStr">
        <is>
          <t>Strong Back</t>
        </is>
      </c>
    </row>
    <row r="33">
      <c r="J33" t="inlineStr">
        <is>
          <t>Noble</t>
        </is>
      </c>
      <c r="AI33" t="n">
        <v>80</v>
      </c>
      <c r="AJ33" t="inlineStr">
        <is>
          <t>Sturdy</t>
        </is>
      </c>
    </row>
    <row r="34">
      <c r="J34" t="inlineStr">
        <is>
          <t>Nun</t>
        </is>
      </c>
      <c r="AI34" t="n">
        <v>82</v>
      </c>
      <c r="AJ34" t="inlineStr">
        <is>
          <t>Suave</t>
        </is>
      </c>
    </row>
    <row r="35">
      <c r="J35" t="inlineStr">
        <is>
          <t>Outlaw</t>
        </is>
      </c>
      <c r="AI35" t="n">
        <v>85</v>
      </c>
      <c r="AJ35" t="inlineStr">
        <is>
          <t>Super Numerate</t>
        </is>
      </c>
    </row>
    <row r="36">
      <c r="J36" t="inlineStr">
        <is>
          <t>Pedlar</t>
        </is>
      </c>
      <c r="AI36" t="n">
        <v>87</v>
      </c>
      <c r="AJ36" t="inlineStr">
        <is>
          <t>Supportive</t>
        </is>
      </c>
    </row>
    <row r="37">
      <c r="J37" t="inlineStr">
        <is>
          <t>Physician</t>
        </is>
      </c>
      <c r="AI37" t="n">
        <v>90</v>
      </c>
      <c r="AJ37" t="inlineStr">
        <is>
          <t>Tinker</t>
        </is>
      </c>
    </row>
    <row r="38">
      <c r="J38" t="inlineStr">
        <is>
          <t>Pilot</t>
        </is>
      </c>
      <c r="AI38" t="n">
        <v>92</v>
      </c>
      <c r="AJ38" t="inlineStr">
        <is>
          <t>Tunnel Fighter</t>
        </is>
      </c>
    </row>
    <row r="39">
      <c r="J39" t="inlineStr">
        <is>
          <t>Pit Fighter</t>
        </is>
      </c>
      <c r="AI39" t="n">
        <v>95</v>
      </c>
      <c r="AJ39" t="inlineStr">
        <is>
          <t>Very Resilient</t>
        </is>
      </c>
    </row>
    <row r="40">
      <c r="J40" t="inlineStr">
        <is>
          <t>Priest</t>
        </is>
      </c>
      <c r="AI40" t="n">
        <v>97</v>
      </c>
      <c r="AJ40" t="inlineStr">
        <is>
          <t>Very Strong</t>
        </is>
      </c>
    </row>
    <row r="41">
      <c r="J41" t="inlineStr">
        <is>
          <t>Protagonist</t>
        </is>
      </c>
      <c r="AI41" t="n">
        <v>100</v>
      </c>
      <c r="AJ41" t="inlineStr">
        <is>
          <t>Warrior Born</t>
        </is>
      </c>
    </row>
    <row r="42">
      <c r="J42" t="inlineStr">
        <is>
          <t>Racketeer</t>
        </is>
      </c>
    </row>
    <row r="43">
      <c r="J43" t="inlineStr">
        <is>
          <t>Rat Catcher</t>
        </is>
      </c>
    </row>
    <row r="44">
      <c r="J44" t="inlineStr">
        <is>
          <t>Riverwarden</t>
        </is>
      </c>
    </row>
    <row r="45">
      <c r="J45" t="inlineStr">
        <is>
          <t>Riverwoman</t>
        </is>
      </c>
    </row>
    <row r="46">
      <c r="J46" t="inlineStr">
        <is>
          <t>Roadwarden</t>
        </is>
      </c>
    </row>
    <row r="47">
      <c r="J47" t="inlineStr">
        <is>
          <t>Sailor</t>
        </is>
      </c>
    </row>
    <row r="48">
      <c r="J48" t="inlineStr">
        <is>
          <t>Scholar</t>
        </is>
      </c>
    </row>
    <row r="49">
      <c r="J49" t="inlineStr">
        <is>
          <t>Scout</t>
        </is>
      </c>
    </row>
    <row r="50">
      <c r="J50" t="inlineStr">
        <is>
          <t>Servant</t>
        </is>
      </c>
    </row>
    <row r="51">
      <c r="J51" t="inlineStr">
        <is>
          <t>Slayer</t>
        </is>
      </c>
    </row>
    <row r="52">
      <c r="J52" t="inlineStr">
        <is>
          <t>Smuggler</t>
        </is>
      </c>
    </row>
    <row r="53">
      <c r="J53" t="inlineStr">
        <is>
          <t>Soldier</t>
        </is>
      </c>
    </row>
    <row r="54">
      <c r="J54" t="inlineStr">
        <is>
          <t>Spy</t>
        </is>
      </c>
    </row>
    <row r="55">
      <c r="J55" t="inlineStr">
        <is>
          <t>Stevedore</t>
        </is>
      </c>
    </row>
    <row r="56">
      <c r="J56" t="inlineStr">
        <is>
          <t>Thief</t>
        </is>
      </c>
    </row>
    <row r="57">
      <c r="J57" t="inlineStr">
        <is>
          <t>Townsman</t>
        </is>
      </c>
    </row>
    <row r="58">
      <c r="J58" t="inlineStr">
        <is>
          <t>Villager</t>
        </is>
      </c>
    </row>
    <row r="59">
      <c r="J59" t="inlineStr">
        <is>
          <t>Warden</t>
        </is>
      </c>
    </row>
    <row r="60">
      <c r="J60" t="inlineStr">
        <is>
          <t>Warrior Priest</t>
        </is>
      </c>
    </row>
    <row r="61">
      <c r="J61" t="inlineStr">
        <is>
          <t>Watchman</t>
        </is>
      </c>
    </row>
    <row r="62">
      <c r="J62" t="inlineStr">
        <is>
          <t>Witch</t>
        </is>
      </c>
    </row>
    <row r="63">
      <c r="J63" t="inlineStr">
        <is>
          <t>Witch Hunter</t>
        </is>
      </c>
    </row>
    <row r="64">
      <c r="J64" t="inlineStr">
        <is>
          <t>Wizard</t>
        </is>
      </c>
    </row>
    <row r="65">
      <c r="J65" t="inlineStr">
        <is>
          <t>Wrecker</t>
        </is>
      </c>
    </row>
  </sheetData>
  <pageMargins left="0.75" right="0.75" top="1" bottom="1" header="0.5" footer="0.5"/>
</worksheet>
</file>

<file path=xl/worksheets/sheet7.xml><?xml version="1.0" encoding="utf-8"?>
<worksheet xmlns="http://schemas.openxmlformats.org/spreadsheetml/2006/main">
  <sheetPr>
    <tabColor rgb="00808080"/>
    <outlinePr summaryBelow="1" summaryRight="1"/>
    <pageSetUpPr/>
  </sheetPr>
  <dimension ref="A1:G202"/>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6" customWidth="1" min="3" max="3"/>
    <col width="10" customWidth="1" min="4" max="4"/>
    <col width="8" customWidth="1" min="5" max="5"/>
    <col width="90" customWidth="1" min="6" max="6"/>
    <col width="6" customWidth="1" min="7" max="7"/>
  </cols>
  <sheetData>
    <row r="1">
      <c r="A1" s="37" t="inlineStr">
        <is>
          <t>Skill</t>
        </is>
      </c>
      <c r="B1" s="37" t="inlineStr">
        <is>
          <t>Base skill</t>
        </is>
      </c>
      <c r="C1" s="37" t="inlineStr">
        <is>
          <t>Char</t>
        </is>
      </c>
      <c r="D1" s="37" t="inlineStr">
        <is>
          <t>Type</t>
        </is>
      </c>
      <c r="E1" s="37" t="inlineStr">
        <is>
          <t>Grouped</t>
        </is>
      </c>
      <c r="F1" s="37" t="inlineStr">
        <is>
          <t>Description</t>
        </is>
      </c>
      <c r="G1" s="37" t="inlineStr">
        <is>
          <t>Page</t>
        </is>
      </c>
    </row>
    <row r="2">
      <c r="A2" t="inlineStr">
        <is>
          <t>Animal Care</t>
        </is>
      </c>
      <c r="B2" t="inlineStr">
        <is>
          <t>Animal Care</t>
        </is>
      </c>
      <c r="C2" t="inlineStr">
        <is>
          <t>Int</t>
        </is>
      </c>
      <c r="D2" t="inlineStr">
        <is>
          <t>Advanced</t>
        </is>
      </c>
      <c r="E2" t="inlineStr">
        <is>
          <t>No</t>
        </is>
      </c>
      <c r="F2" t="inlineStr">
        <is>
          <t>Care for animals and heal them from disease or injury. A Character with an Advance in this Skill can keep animals healthy under normal conditions without needing to Test. A Test is required to diagnose or resolve problems with animals, such as spotting signs of illness or healing an injury (page 171).</t>
        </is>
      </c>
      <c r="G2" t="n">
        <v>111</v>
      </c>
    </row>
    <row r="3">
      <c r="A3" t="inlineStr">
        <is>
          <t>Animal Training (Demigryph)</t>
        </is>
      </c>
      <c r="B3" t="inlineStr">
        <is>
          <t>Animal Training</t>
        </is>
      </c>
      <c r="C3" t="inlineStr">
        <is>
          <t>Int</t>
        </is>
      </c>
      <c r="D3" t="inlineStr">
        <is>
          <t>Advanced</t>
        </is>
      </c>
      <c r="E3" t="inlineStr">
        <is>
          <t>Yes</t>
        </is>
      </c>
      <c r="F3" t="inlineStr">
        <is>
          <t>To train a beast, undertake the Animal Training Endeavour between adventures (see page 196).</t>
        </is>
      </c>
      <c r="G3" t="n">
        <v>111</v>
      </c>
    </row>
    <row r="4">
      <c r="A4" t="inlineStr">
        <is>
          <t>Animal Training (Dog)</t>
        </is>
      </c>
      <c r="B4" t="inlineStr">
        <is>
          <t>Animal Training</t>
        </is>
      </c>
      <c r="C4" t="inlineStr">
        <is>
          <t>Int</t>
        </is>
      </c>
      <c r="D4" t="inlineStr">
        <is>
          <t>Advanced</t>
        </is>
      </c>
      <c r="E4" t="inlineStr">
        <is>
          <t>Yes</t>
        </is>
      </c>
      <c r="F4" t="inlineStr">
        <is>
          <t>To train a beast, undertake the Animal Training Endeavour between adventures (see page 196).</t>
        </is>
      </c>
      <c r="G4" t="n">
        <v>111</v>
      </c>
    </row>
    <row r="5">
      <c r="A5" t="inlineStr">
        <is>
          <t>Animal Training (Hawk)</t>
        </is>
      </c>
      <c r="B5" t="inlineStr">
        <is>
          <t>Animal Training</t>
        </is>
      </c>
      <c r="C5" t="inlineStr">
        <is>
          <t>Int</t>
        </is>
      </c>
      <c r="D5" t="inlineStr">
        <is>
          <t>Advanced</t>
        </is>
      </c>
      <c r="E5" t="inlineStr">
        <is>
          <t>Yes</t>
        </is>
      </c>
      <c r="F5" t="inlineStr">
        <is>
          <t>To train a beast, undertake the Animal Training Endeavour between adventures (see page 196).</t>
        </is>
      </c>
      <c r="G5" t="n">
        <v>111</v>
      </c>
    </row>
    <row r="6">
      <c r="A6" t="inlineStr">
        <is>
          <t>Animal Training (Horse)</t>
        </is>
      </c>
      <c r="B6" t="inlineStr">
        <is>
          <t>Animal Training</t>
        </is>
      </c>
      <c r="C6" t="inlineStr">
        <is>
          <t>Int</t>
        </is>
      </c>
      <c r="D6" t="inlineStr">
        <is>
          <t>Advanced</t>
        </is>
      </c>
      <c r="E6" t="inlineStr">
        <is>
          <t>Yes</t>
        </is>
      </c>
      <c r="F6" t="inlineStr">
        <is>
          <t>To train a beast, undertake the Animal Training Endeavour between adventures (see page 196).</t>
        </is>
      </c>
      <c r="G6" t="n">
        <v>111</v>
      </c>
    </row>
    <row r="7">
      <c r="A7" t="inlineStr">
        <is>
          <t>Animal Training (Pigeon)</t>
        </is>
      </c>
      <c r="B7" t="inlineStr">
        <is>
          <t>Animal Training</t>
        </is>
      </c>
      <c r="C7" t="inlineStr">
        <is>
          <t>Int</t>
        </is>
      </c>
      <c r="D7" t="inlineStr">
        <is>
          <t>Advanced</t>
        </is>
      </c>
      <c r="E7" t="inlineStr">
        <is>
          <t>Yes</t>
        </is>
      </c>
      <c r="F7" t="inlineStr">
        <is>
          <t>To train a beast, undertake the Animal Training Endeavour between adventures (see page 196).</t>
        </is>
      </c>
      <c r="G7" t="n">
        <v>111</v>
      </c>
    </row>
    <row r="8">
      <c r="A8" t="inlineStr">
        <is>
          <t>Art</t>
        </is>
      </c>
      <c r="B8" t="inlineStr">
        <is>
          <t>Art</t>
        </is>
      </c>
      <c r="C8" t="inlineStr">
        <is>
          <t>Dex</t>
        </is>
      </c>
      <c r="D8" t="inlineStr">
        <is>
          <t>Basic</t>
        </is>
      </c>
      <c r="E8" t="inlineStr">
        <is>
          <t>Yes</t>
        </is>
      </c>
      <c r="F8" t="inlineStr">
        <is>
          <t>Create works of art in your chosen medium. The more SL achieved, the better the quality of the final piece. For complicated or large works of art, an Extended Test may be required.</t>
        </is>
      </c>
      <c r="G8" t="n">
        <v>111</v>
      </c>
    </row>
    <row r="9">
      <c r="A9" t="inlineStr">
        <is>
          <t>Art (Calligraphy)</t>
        </is>
      </c>
      <c r="B9" t="inlineStr">
        <is>
          <t>Art</t>
        </is>
      </c>
      <c r="C9" t="inlineStr">
        <is>
          <t>Dex</t>
        </is>
      </c>
      <c r="D9" t="inlineStr">
        <is>
          <t>Basic</t>
        </is>
      </c>
      <c r="E9" t="inlineStr">
        <is>
          <t>Yes</t>
        </is>
      </c>
      <c r="F9" t="inlineStr">
        <is>
          <t>Create works of art in your chosen medium. The more SL achieved, the better the quality of the final piece. For complicated or large works of art, an Extended Test may be required.</t>
        </is>
      </c>
      <c r="G9" t="n">
        <v>111</v>
      </c>
    </row>
    <row r="10">
      <c r="A10" t="inlineStr">
        <is>
          <t>Art (Drawing)</t>
        </is>
      </c>
      <c r="B10" t="inlineStr">
        <is>
          <t>Art</t>
        </is>
      </c>
      <c r="C10" t="inlineStr">
        <is>
          <t>Dex</t>
        </is>
      </c>
      <c r="D10" t="inlineStr">
        <is>
          <t>Basic</t>
        </is>
      </c>
      <c r="E10" t="inlineStr">
        <is>
          <t>Yes</t>
        </is>
      </c>
      <c r="F10" t="inlineStr">
        <is>
          <t>Create works of art in your chosen medium. The more SL achieved, the better the quality of the final piece. For complicated or large works of art, an Extended Test may be required.</t>
        </is>
      </c>
      <c r="G10" t="n">
        <v>111</v>
      </c>
    </row>
    <row r="11">
      <c r="A11" t="inlineStr">
        <is>
          <t>Art (Engraving)</t>
        </is>
      </c>
      <c r="B11" t="inlineStr">
        <is>
          <t>Art</t>
        </is>
      </c>
      <c r="C11" t="inlineStr">
        <is>
          <t>Dex</t>
        </is>
      </c>
      <c r="D11" t="inlineStr">
        <is>
          <t>Basic</t>
        </is>
      </c>
      <c r="E11" t="inlineStr">
        <is>
          <t>Yes</t>
        </is>
      </c>
      <c r="F11" t="inlineStr">
        <is>
          <t>Create works of art in your chosen medium. The more SL achieved, the better the quality of the final piece. For complicated or large works of art, an Extended Test may be required.</t>
        </is>
      </c>
      <c r="G11" t="n">
        <v>111</v>
      </c>
    </row>
    <row r="12">
      <c r="A12" t="inlineStr">
        <is>
          <t>Art (Icons)</t>
        </is>
      </c>
      <c r="B12" t="inlineStr">
        <is>
          <t>Art</t>
        </is>
      </c>
      <c r="C12" t="inlineStr">
        <is>
          <t>Dex</t>
        </is>
      </c>
      <c r="D12" t="inlineStr">
        <is>
          <t>Basic</t>
        </is>
      </c>
      <c r="E12" t="inlineStr">
        <is>
          <t>Yes</t>
        </is>
      </c>
      <c r="F12" t="inlineStr">
        <is>
          <t>Create works of art in your chosen medium. The more SL achieved, the better the quality of the final piece. For complicated or large works of art, an Extended Test may be required.</t>
        </is>
      </c>
      <c r="G12" t="n">
        <v>111</v>
      </c>
    </row>
    <row r="13">
      <c r="A13" t="inlineStr">
        <is>
          <t>Art (Mosaics)</t>
        </is>
      </c>
      <c r="B13" t="inlineStr">
        <is>
          <t>Art</t>
        </is>
      </c>
      <c r="C13" t="inlineStr">
        <is>
          <t>Dex</t>
        </is>
      </c>
      <c r="D13" t="inlineStr">
        <is>
          <t>Basic</t>
        </is>
      </c>
      <c r="E13" t="inlineStr">
        <is>
          <t>Yes</t>
        </is>
      </c>
      <c r="F13" t="inlineStr">
        <is>
          <t>Create works of art in your chosen medium. The more SL achieved, the better the quality of the final piece. For complicated or large works of art, an Extended Test may be required.</t>
        </is>
      </c>
      <c r="G13" t="n">
        <v>111</v>
      </c>
    </row>
    <row r="14">
      <c r="A14" t="inlineStr">
        <is>
          <t>Art (Painting)</t>
        </is>
      </c>
      <c r="B14" t="inlineStr">
        <is>
          <t>Art</t>
        </is>
      </c>
      <c r="C14" t="inlineStr">
        <is>
          <t>Dex</t>
        </is>
      </c>
      <c r="D14" t="inlineStr">
        <is>
          <t>Basic</t>
        </is>
      </c>
      <c r="E14" t="inlineStr">
        <is>
          <t>Yes</t>
        </is>
      </c>
      <c r="F14" t="inlineStr">
        <is>
          <t>Create works of art in your chosen medium. The more SL achieved, the better the quality of the final piece. For complicated or large works of art, an Extended Test may be required.</t>
        </is>
      </c>
      <c r="G14" t="n">
        <v>111</v>
      </c>
    </row>
    <row r="15">
      <c r="A15" t="inlineStr">
        <is>
          <t>Art (Sculpture)</t>
        </is>
      </c>
      <c r="B15" t="inlineStr">
        <is>
          <t>Art</t>
        </is>
      </c>
      <c r="C15" t="inlineStr">
        <is>
          <t>Dex</t>
        </is>
      </c>
      <c r="D15" t="inlineStr">
        <is>
          <t>Basic</t>
        </is>
      </c>
      <c r="E15" t="inlineStr">
        <is>
          <t>Yes</t>
        </is>
      </c>
      <c r="F15" t="inlineStr">
        <is>
          <t>Create works of art in your chosen medium. The more SL achieved, the better the quality of the final piece. For complicated or large works of art, an Extended Test may be required.</t>
        </is>
      </c>
      <c r="G15" t="n">
        <v>111</v>
      </c>
    </row>
    <row r="16">
      <c r="A16" t="inlineStr">
        <is>
          <t>Art (Tattooing)</t>
        </is>
      </c>
      <c r="B16" t="inlineStr">
        <is>
          <t>Art</t>
        </is>
      </c>
      <c r="C16" t="inlineStr">
        <is>
          <t>Dex</t>
        </is>
      </c>
      <c r="D16" t="inlineStr">
        <is>
          <t>Basic</t>
        </is>
      </c>
      <c r="E16" t="inlineStr">
        <is>
          <t>Yes</t>
        </is>
      </c>
      <c r="F16" t="inlineStr">
        <is>
          <t>Create works of art in your chosen medium. The more SL achieved, the better the quality of the final piece. For complicated or large works of art, an Extended Test may be required.</t>
        </is>
      </c>
      <c r="G16" t="n">
        <v>111</v>
      </c>
    </row>
    <row r="17">
      <c r="A17" t="inlineStr">
        <is>
          <t>Art (Weaving)</t>
        </is>
      </c>
      <c r="B17" t="inlineStr">
        <is>
          <t>Art</t>
        </is>
      </c>
      <c r="C17" t="inlineStr">
        <is>
          <t>Dex</t>
        </is>
      </c>
      <c r="D17" t="inlineStr">
        <is>
          <t>Basic</t>
        </is>
      </c>
      <c r="E17" t="inlineStr">
        <is>
          <t>Yes</t>
        </is>
      </c>
      <c r="F17" t="inlineStr">
        <is>
          <t>Create works of art in your chosen medium. The more SL achieved, the better the quality of the final piece. For complicated or large works of art, an Extended Test may be required.</t>
        </is>
      </c>
      <c r="G17" t="n">
        <v>111</v>
      </c>
    </row>
    <row r="18">
      <c r="A18" t="inlineStr">
        <is>
          <t>Art (Writing)</t>
        </is>
      </c>
      <c r="B18" t="inlineStr">
        <is>
          <t>Art</t>
        </is>
      </c>
      <c r="C18" t="inlineStr">
        <is>
          <t>Dex</t>
        </is>
      </c>
      <c r="D18" t="inlineStr">
        <is>
          <t>Basic</t>
        </is>
      </c>
      <c r="E18" t="inlineStr">
        <is>
          <t>Yes</t>
        </is>
      </c>
      <c r="F18" t="inlineStr">
        <is>
          <t>Create works of art in your chosen medium. The more SL achieved, the better the quality of the final piece. For complicated or large works of art, an Extended Test may be required.</t>
        </is>
      </c>
      <c r="G18" t="n">
        <v>111</v>
      </c>
    </row>
    <row r="19">
      <c r="A19" t="inlineStr">
        <is>
          <t>Athletics</t>
        </is>
      </c>
      <c r="B19" t="inlineStr">
        <is>
          <t>Athletics</t>
        </is>
      </c>
      <c r="C19" t="inlineStr">
        <is>
          <t>Ag</t>
        </is>
      </c>
      <c r="D19" t="inlineStr">
        <is>
          <t>Basic</t>
        </is>
      </c>
      <c r="E19" t="inlineStr">
        <is>
          <t>No</t>
        </is>
      </c>
      <c r="F19" t="inlineStr">
        <is>
          <t>Your ability to run, jump, move or perform any other general physical activity.</t>
        </is>
      </c>
      <c r="G19" t="n">
        <v>111</v>
      </c>
    </row>
    <row r="20">
      <c r="A20" t="inlineStr">
        <is>
          <t>Bribery</t>
        </is>
      </c>
      <c r="B20" t="inlineStr">
        <is>
          <t>Bribery</t>
        </is>
      </c>
      <c r="C20" t="inlineStr">
        <is>
          <t>Fel</t>
        </is>
      </c>
      <c r="D20" t="inlineStr">
        <is>
          <t>Basic</t>
        </is>
      </c>
      <c r="E20" t="inlineStr">
        <is>
          <t>No</t>
        </is>
      </c>
      <c r="F20" t="inlineStr">
        <is>
          <t>Find someone who is willing to accept a bribe, such as a guild notary to accept forged paperwork or a gate guard to look the other way while you slip inside after nightfall. You can also make a Bribery Test to judge if a particular person could be bribed, and what their price is likely to be.</t>
        </is>
      </c>
      <c r="G20" t="n">
        <v>111</v>
      </c>
    </row>
    <row r="21">
      <c r="A21" t="inlineStr">
        <is>
          <t>Channelling (Aqshy)</t>
        </is>
      </c>
      <c r="B21" t="inlineStr">
        <is>
          <t>Channelling</t>
        </is>
      </c>
      <c r="C21" t="inlineStr">
        <is>
          <t>WP</t>
        </is>
      </c>
      <c r="D21" t="inlineStr">
        <is>
          <t>Advanced</t>
        </is>
      </c>
      <c r="E21" t="inlineStr">
        <is>
          <t>Yes</t>
        </is>
      </c>
      <c r="F21" t="inlineStr">
        <is>
          <t>Specialisations Include: Aqshy, Azyr, Chamon, Dhar, Ghur, Ghyran, Hysh, Magick, Shyish, Ulgu. Ability to call upon and control the various Winds of Magic, solely used with the magic rules. See Chapter 8: Magic for details.</t>
        </is>
      </c>
      <c r="G21" t="n">
        <v>111</v>
      </c>
    </row>
    <row r="22">
      <c r="A22" t="inlineStr">
        <is>
          <t>Channelling (Azyr)</t>
        </is>
      </c>
      <c r="B22" t="inlineStr">
        <is>
          <t>Channelling</t>
        </is>
      </c>
      <c r="C22" t="inlineStr">
        <is>
          <t>WP</t>
        </is>
      </c>
      <c r="D22" t="inlineStr">
        <is>
          <t>Advanced</t>
        </is>
      </c>
      <c r="E22" t="inlineStr">
        <is>
          <t>Yes</t>
        </is>
      </c>
      <c r="F22" t="inlineStr">
        <is>
          <t>Specialisations Include: Aqshy, Azyr, Chamon, Dhar, Ghur, Ghyran, Hysh, Magick, Shyish, Ulgu. Ability to call upon and control the various Winds of Magic, solely used with the magic rules. See Chapter 8: Magic for details.</t>
        </is>
      </c>
      <c r="G22" t="n">
        <v>111</v>
      </c>
    </row>
    <row r="23">
      <c r="A23" t="inlineStr">
        <is>
          <t>Channelling (Chamon)</t>
        </is>
      </c>
      <c r="B23" t="inlineStr">
        <is>
          <t>Channelling</t>
        </is>
      </c>
      <c r="C23" t="inlineStr">
        <is>
          <t>WP</t>
        </is>
      </c>
      <c r="D23" t="inlineStr">
        <is>
          <t>Advanced</t>
        </is>
      </c>
      <c r="E23" t="inlineStr">
        <is>
          <t>Yes</t>
        </is>
      </c>
      <c r="F23" t="inlineStr">
        <is>
          <t>Specialisations Include: Aqshy, Azyr, Chamon, Dhar, Ghur, Ghyran, Hysh, Magick, Shyish, Ulgu. Ability to call upon and control the various Winds of Magic, solely used with the magic rules. See Chapter 8: Magic for details.</t>
        </is>
      </c>
      <c r="G23" t="n">
        <v>111</v>
      </c>
    </row>
    <row r="24">
      <c r="A24" t="inlineStr">
        <is>
          <t>Channelling (Dhar)</t>
        </is>
      </c>
      <c r="B24" t="inlineStr">
        <is>
          <t>Channelling</t>
        </is>
      </c>
      <c r="C24" t="inlineStr">
        <is>
          <t>WP</t>
        </is>
      </c>
      <c r="D24" t="inlineStr">
        <is>
          <t>Advanced</t>
        </is>
      </c>
      <c r="E24" t="inlineStr">
        <is>
          <t>Yes</t>
        </is>
      </c>
      <c r="F24" t="inlineStr">
        <is>
          <t>Specialisations Include: Aqshy, Azyr, Chamon, Dhar, Ghur, Ghyran, Hysh, Magick, Shyish, Ulgu. Ability to call upon and control the various Winds of Magic, solely used with the magic rules. See Chapter 8: Magic for details.</t>
        </is>
      </c>
      <c r="G24" t="n">
        <v>111</v>
      </c>
    </row>
    <row r="25">
      <c r="A25" t="inlineStr">
        <is>
          <t>Channelling (Ghur)</t>
        </is>
      </c>
      <c r="B25" t="inlineStr">
        <is>
          <t>Channelling</t>
        </is>
      </c>
      <c r="C25" t="inlineStr">
        <is>
          <t>WP</t>
        </is>
      </c>
      <c r="D25" t="inlineStr">
        <is>
          <t>Advanced</t>
        </is>
      </c>
      <c r="E25" t="inlineStr">
        <is>
          <t>Yes</t>
        </is>
      </c>
      <c r="F25" t="inlineStr">
        <is>
          <t>Specialisations Include: Aqshy, Azyr, Chamon, Dhar, Ghur, Ghyran, Hysh, Magick, Shyish, Ulgu. Ability to call upon and control the various Winds of Magic, solely used with the magic rules. See Chapter 8: Magic for details.</t>
        </is>
      </c>
      <c r="G25" t="n">
        <v>111</v>
      </c>
    </row>
    <row r="26">
      <c r="A26" t="inlineStr">
        <is>
          <t>Channelling (Ghyran)</t>
        </is>
      </c>
      <c r="B26" t="inlineStr">
        <is>
          <t>Channelling</t>
        </is>
      </c>
      <c r="C26" t="inlineStr">
        <is>
          <t>WP</t>
        </is>
      </c>
      <c r="D26" t="inlineStr">
        <is>
          <t>Advanced</t>
        </is>
      </c>
      <c r="E26" t="inlineStr">
        <is>
          <t>Yes</t>
        </is>
      </c>
      <c r="F26" t="inlineStr">
        <is>
          <t>Specialisations Include: Aqshy, Azyr, Chamon, Dhar, Ghur, Ghyran, Hysh, Magick, Shyish, Ulgu. Ability to call upon and control the various Winds of Magic, solely used with the magic rules. See Chapter 8: Magic for details.</t>
        </is>
      </c>
      <c r="G26" t="n">
        <v>111</v>
      </c>
    </row>
    <row r="27">
      <c r="A27" t="inlineStr">
        <is>
          <t>Channelling (Hysh)</t>
        </is>
      </c>
      <c r="B27" t="inlineStr">
        <is>
          <t>Channelling</t>
        </is>
      </c>
      <c r="C27" t="inlineStr">
        <is>
          <t>WP</t>
        </is>
      </c>
      <c r="D27" t="inlineStr">
        <is>
          <t>Advanced</t>
        </is>
      </c>
      <c r="E27" t="inlineStr">
        <is>
          <t>Yes</t>
        </is>
      </c>
      <c r="F27" t="inlineStr">
        <is>
          <t>Specialisations Include: Aqshy, Azyr, Chamon, Dhar, Ghur, Ghyran, Hysh, Magick, Shyish, Ulgu. Ability to call upon and control the various Winds of Magic, solely used with the magic rules. See Chapter 8: Magic for details.</t>
        </is>
      </c>
      <c r="G27" t="n">
        <v>111</v>
      </c>
    </row>
    <row r="28">
      <c r="A28" t="inlineStr">
        <is>
          <t>Channelling (Magick)</t>
        </is>
      </c>
      <c r="B28" t="inlineStr">
        <is>
          <t>Channelling</t>
        </is>
      </c>
      <c r="C28" t="inlineStr">
        <is>
          <t>WP</t>
        </is>
      </c>
      <c r="D28" t="inlineStr">
        <is>
          <t>Advanced</t>
        </is>
      </c>
      <c r="E28" t="inlineStr">
        <is>
          <t>Yes</t>
        </is>
      </c>
      <c r="F28" t="inlineStr">
        <is>
          <t>Specialisations Include: Aqshy, Azyr, Chamon, Dhar, Ghur, Ghyran, Hysh, Magick, Shyish, Ulgu. Ability to call upon and control the various Winds of Magic, solely used with the magic rules. See Chapter 8: Magic for details.</t>
        </is>
      </c>
      <c r="G28" t="n">
        <v>111</v>
      </c>
    </row>
    <row r="29">
      <c r="A29" t="inlineStr">
        <is>
          <t>Channelling (Shyish)</t>
        </is>
      </c>
      <c r="B29" t="inlineStr">
        <is>
          <t>Channelling</t>
        </is>
      </c>
      <c r="C29" t="inlineStr">
        <is>
          <t>WP</t>
        </is>
      </c>
      <c r="D29" t="inlineStr">
        <is>
          <t>Advanced</t>
        </is>
      </c>
      <c r="E29" t="inlineStr">
        <is>
          <t>Yes</t>
        </is>
      </c>
      <c r="F29" t="inlineStr">
        <is>
          <t>Specialisations Include: Aqshy, Azyr, Chamon, Dhar, Ghur, Ghyran, Hysh, Magick, Shyish, Ulgu. Ability to call upon and control the various Winds of Magic, solely used with the magic rules. See Chapter 8: Magic for details.</t>
        </is>
      </c>
      <c r="G29" t="n">
        <v>111</v>
      </c>
    </row>
    <row r="30">
      <c r="A30" t="inlineStr">
        <is>
          <t>Channelling (Ulgu)</t>
        </is>
      </c>
      <c r="B30" t="inlineStr">
        <is>
          <t>Channelling</t>
        </is>
      </c>
      <c r="C30" t="inlineStr">
        <is>
          <t>WP</t>
        </is>
      </c>
      <c r="D30" t="inlineStr">
        <is>
          <t>Advanced</t>
        </is>
      </c>
      <c r="E30" t="inlineStr">
        <is>
          <t>Yes</t>
        </is>
      </c>
      <c r="F30" t="inlineStr">
        <is>
          <t>Specialisations Include: Aqshy, Azyr, Chamon, Dhar, Ghur, Ghyran, Hysh, Magick, Shyish, Ulgu. Ability to call upon and control the various Winds of Magic, solely used with the magic rules. See Chapter 8: Magic for details.</t>
        </is>
      </c>
      <c r="G30" t="n">
        <v>111</v>
      </c>
    </row>
    <row r="31">
      <c r="A31" t="inlineStr">
        <is>
          <t>Charm</t>
        </is>
      </c>
      <c r="B31" t="inlineStr">
        <is>
          <t>Charm</t>
        </is>
      </c>
      <c r="C31" t="inlineStr">
        <is>
          <t>Fel</t>
        </is>
      </c>
      <c r="D31" t="inlineStr">
        <is>
          <t>Basic</t>
        </is>
      </c>
      <c r="E31" t="inlineStr">
        <is>
          <t>No</t>
        </is>
      </c>
      <c r="F31" t="inlineStr">
        <is>
          <t>Makes people think favourably of you, your opinions, and actions you propose. People won't necessarily do what you say simply because you've passed a Charm Test, but they will at least give you due consideration.</t>
        </is>
      </c>
      <c r="G31" t="n">
        <v>111</v>
      </c>
    </row>
    <row r="32">
      <c r="A32" t="inlineStr">
        <is>
          <t>Charm Animal</t>
        </is>
      </c>
      <c r="B32" t="inlineStr">
        <is>
          <t>Charm Animal</t>
        </is>
      </c>
      <c r="C32" t="inlineStr">
        <is>
          <t>WP</t>
        </is>
      </c>
      <c r="D32" t="inlineStr">
        <is>
          <t>Basic</t>
        </is>
      </c>
      <c r="E32" t="inlineStr">
        <is>
          <t>No</t>
        </is>
      </c>
      <c r="F32" t="inlineStr">
        <is>
          <t>Your aptitude for befriending, quickly calming, or subjugating animals. A Charm Animal Test can convince a wild animal to back off, or a guard dog to devour a proffered scrap of meat rather than your arm.</t>
        </is>
      </c>
      <c r="G32" t="n">
        <v>111</v>
      </c>
    </row>
    <row r="33">
      <c r="A33" t="inlineStr">
        <is>
          <t>Climb</t>
        </is>
      </c>
      <c r="B33" t="inlineStr">
        <is>
          <t>Climb</t>
        </is>
      </c>
      <c r="C33" t="inlineStr">
        <is>
          <t>S</t>
        </is>
      </c>
      <c r="D33" t="inlineStr">
        <is>
          <t>Basic</t>
        </is>
      </c>
      <c r="E33" t="inlineStr">
        <is>
          <t>No</t>
        </is>
      </c>
      <c r="F33" t="inlineStr">
        <is>
          <t>The ability to ascend steep or vertical surfaces, like a perilous mountainside or the rain-slick wall of a tumbledown townhouse. Climbing can sometimes be used in combat when facing especially monstrous foes — see page 162 for combat movement.</t>
        </is>
      </c>
      <c r="G33" t="n">
        <v>111</v>
      </c>
    </row>
    <row r="34">
      <c r="A34" t="inlineStr">
        <is>
          <t>Consume Alcohol</t>
        </is>
      </c>
      <c r="B34" t="inlineStr">
        <is>
          <t>Consume Alcohol</t>
        </is>
      </c>
      <c r="C34" t="inlineStr">
        <is>
          <t>T</t>
        </is>
      </c>
      <c r="D34" t="inlineStr">
        <is>
          <t>Basic</t>
        </is>
      </c>
      <c r="E34" t="inlineStr">
        <is>
          <t>No</t>
        </is>
      </c>
      <c r="F34" t="inlineStr">
        <is>
          <t>How well you can handle alcohol without letting it cloud your judgment or render you senseless. Often used to impress those who find the ability to down an unreasonable number of beverages to be praiseworthy.</t>
        </is>
      </c>
      <c r="G34" t="n">
        <v>111</v>
      </c>
    </row>
    <row r="35">
      <c r="A35" t="inlineStr">
        <is>
          <t>Cool</t>
        </is>
      </c>
      <c r="B35" t="inlineStr">
        <is>
          <t>Cool</t>
        </is>
      </c>
      <c r="C35" t="inlineStr">
        <is>
          <t>WP</t>
        </is>
      </c>
      <c r="D35" t="inlineStr">
        <is>
          <t>Basic</t>
        </is>
      </c>
      <c r="E35" t="inlineStr">
        <is>
          <t>No</t>
        </is>
      </c>
      <c r="F35" t="inlineStr">
        <is>
          <t>Allows you to remain calm under stress, resist fear in the face of horror, and stick to your convictions. It is generally used to resist the attempts of others to Charm or Intimidate you, or to curtail other Psychological effects (see page 183).</t>
        </is>
      </c>
      <c r="G35" t="n">
        <v>111</v>
      </c>
    </row>
    <row r="36">
      <c r="A36" t="inlineStr">
        <is>
          <t>Dodge</t>
        </is>
      </c>
      <c r="B36" t="inlineStr">
        <is>
          <t>Dodge</t>
        </is>
      </c>
      <c r="C36" t="inlineStr">
        <is>
          <t>Ag</t>
        </is>
      </c>
      <c r="D36" t="inlineStr">
        <is>
          <t>Basic</t>
        </is>
      </c>
      <c r="E36" t="inlineStr">
        <is>
          <t>No</t>
        </is>
      </c>
      <c r="F36" t="inlineStr">
        <is>
          <t>Avoid things through ducking, diving, and moving quickly, and is used extensively to sidestep falling rocks, incoming weapons, and the like. In combat, Dodge is generally used to resist attacks or avoid damage.</t>
        </is>
      </c>
      <c r="G36" t="n">
        <v>111</v>
      </c>
    </row>
    <row r="37">
      <c r="A37" t="inlineStr">
        <is>
          <t>Drive</t>
        </is>
      </c>
      <c r="B37" t="inlineStr">
        <is>
          <t>Drive</t>
        </is>
      </c>
      <c r="C37" t="inlineStr">
        <is>
          <t>Ag</t>
        </is>
      </c>
      <c r="D37" t="inlineStr">
        <is>
          <t>Basic</t>
        </is>
      </c>
      <c r="E37" t="inlineStr">
        <is>
          <t>No</t>
        </is>
      </c>
      <c r="F37" t="inlineStr">
        <is>
          <t>Maneuvering vehicles — most commonly simple carts and lumbering coaches, but also the more experimental creations of Imperial Engineers — along the roads of the Empire with as little incident as possible.</t>
        </is>
      </c>
      <c r="G37" t="n">
        <v>111</v>
      </c>
    </row>
    <row r="38">
      <c r="A38" t="inlineStr">
        <is>
          <t>Endurance</t>
        </is>
      </c>
      <c r="B38" t="inlineStr">
        <is>
          <t>Endurance</t>
        </is>
      </c>
      <c r="C38" t="inlineStr">
        <is>
          <t>T</t>
        </is>
      </c>
      <c r="D38" t="inlineStr">
        <is>
          <t>Basic</t>
        </is>
      </c>
      <c r="E38" t="inlineStr">
        <is>
          <t>No</t>
        </is>
      </c>
      <c r="F38" t="inlineStr">
        <is>
          <t>Called upon when you must endure hardship, withstand deprivation, stand without moving for long periods of time, or survive harsh environments. In particular, Endurance is Tested to resist or recover from various Conditions (see page 184) and helps you recover lost Wounds (see page 170).</t>
        </is>
      </c>
      <c r="G38" t="n">
        <v>111</v>
      </c>
    </row>
    <row r="39">
      <c r="A39" t="inlineStr">
        <is>
          <t>Entertain</t>
        </is>
      </c>
      <c r="B39" t="inlineStr">
        <is>
          <t>Entertain</t>
        </is>
      </c>
      <c r="C39" t="inlineStr">
        <is>
          <t>Fel</t>
        </is>
      </c>
      <c r="D39" t="inlineStr">
        <is>
          <t>Basic</t>
        </is>
      </c>
      <c r="E39" t="inlineStr">
        <is>
          <t>Yes</t>
        </is>
      </c>
      <c r="F39" t="inlineStr">
        <is>
          <t>Delight crowds with the spoken word, perhaps by singing, acting, or attempting a few jokes — hopefully entertaining all those within earshot.</t>
        </is>
      </c>
      <c r="G39" t="n">
        <v>111</v>
      </c>
    </row>
    <row r="40">
      <c r="A40" t="inlineStr">
        <is>
          <t>Entertain (Acting)</t>
        </is>
      </c>
      <c r="B40" t="inlineStr">
        <is>
          <t>Entertain</t>
        </is>
      </c>
      <c r="C40" t="inlineStr">
        <is>
          <t>Fel</t>
        </is>
      </c>
      <c r="D40" t="inlineStr">
        <is>
          <t>Basic</t>
        </is>
      </c>
      <c r="E40" t="inlineStr">
        <is>
          <t>Yes</t>
        </is>
      </c>
      <c r="F40" t="inlineStr">
        <is>
          <t>Delight crowds with the spoken word, perhaps by singing, acting, or attempting a few jokes — hopefully entertaining all those within earshot.</t>
        </is>
      </c>
      <c r="G40" t="n">
        <v>111</v>
      </c>
    </row>
    <row r="41">
      <c r="A41" t="inlineStr">
        <is>
          <t>Entertain (Comedy)</t>
        </is>
      </c>
      <c r="B41" t="inlineStr">
        <is>
          <t>Entertain</t>
        </is>
      </c>
      <c r="C41" t="inlineStr">
        <is>
          <t>Fel</t>
        </is>
      </c>
      <c r="D41" t="inlineStr">
        <is>
          <t>Basic</t>
        </is>
      </c>
      <c r="E41" t="inlineStr">
        <is>
          <t>Yes</t>
        </is>
      </c>
      <c r="F41" t="inlineStr">
        <is>
          <t>Delight crowds with the spoken word, perhaps by singing, acting, or attempting a few jokes — hopefully entertaining all those within earshot.</t>
        </is>
      </c>
      <c r="G41" t="n">
        <v>111</v>
      </c>
    </row>
    <row r="42">
      <c r="A42" t="inlineStr">
        <is>
          <t>Entertain (Fortune-telling)</t>
        </is>
      </c>
      <c r="B42" t="inlineStr">
        <is>
          <t>Entertain</t>
        </is>
      </c>
      <c r="C42" t="inlineStr">
        <is>
          <t>Fel</t>
        </is>
      </c>
      <c r="D42" t="inlineStr">
        <is>
          <t>Basic</t>
        </is>
      </c>
      <c r="E42" t="inlineStr">
        <is>
          <t>Yes</t>
        </is>
      </c>
      <c r="F42" t="inlineStr">
        <is>
          <t>Delight crowds with the spoken word, perhaps by singing, acting, or attempting a few jokes — hopefully entertaining all those within earshot.</t>
        </is>
      </c>
      <c r="G42" t="n">
        <v>111</v>
      </c>
    </row>
    <row r="43">
      <c r="A43" t="inlineStr">
        <is>
          <t>Entertain (Lecture)</t>
        </is>
      </c>
      <c r="B43" t="inlineStr">
        <is>
          <t>Entertain</t>
        </is>
      </c>
      <c r="C43" t="inlineStr">
        <is>
          <t>Fel</t>
        </is>
      </c>
      <c r="D43" t="inlineStr">
        <is>
          <t>Basic</t>
        </is>
      </c>
      <c r="E43" t="inlineStr">
        <is>
          <t>Yes</t>
        </is>
      </c>
      <c r="F43" t="inlineStr">
        <is>
          <t>Delight crowds with the spoken word, perhaps by singing, acting, or attempting a few jokes — hopefully entertaining all those within earshot.</t>
        </is>
      </c>
      <c r="G43" t="n">
        <v>111</v>
      </c>
    </row>
    <row r="44">
      <c r="A44" t="inlineStr">
        <is>
          <t>Entertain (Rhetoric)</t>
        </is>
      </c>
      <c r="B44" t="inlineStr">
        <is>
          <t>Entertain</t>
        </is>
      </c>
      <c r="C44" t="inlineStr">
        <is>
          <t>Fel</t>
        </is>
      </c>
      <c r="D44" t="inlineStr">
        <is>
          <t>Basic</t>
        </is>
      </c>
      <c r="E44" t="inlineStr">
        <is>
          <t>Yes</t>
        </is>
      </c>
      <c r="F44" t="inlineStr">
        <is>
          <t>Delight crowds with the spoken word, perhaps by singing, acting, or attempting a few jokes — hopefully entertaining all those within earshot.</t>
        </is>
      </c>
      <c r="G44" t="n">
        <v>111</v>
      </c>
    </row>
    <row r="45">
      <c r="A45" t="inlineStr">
        <is>
          <t>Entertain (Sing)</t>
        </is>
      </c>
      <c r="B45" t="inlineStr">
        <is>
          <t>Entertain</t>
        </is>
      </c>
      <c r="C45" t="inlineStr">
        <is>
          <t>Fel</t>
        </is>
      </c>
      <c r="D45" t="inlineStr">
        <is>
          <t>Basic</t>
        </is>
      </c>
      <c r="E45" t="inlineStr">
        <is>
          <t>Yes</t>
        </is>
      </c>
      <c r="F45" t="inlineStr">
        <is>
          <t>Delight crowds with the spoken word, perhaps by singing, acting, or attempting a few jokes — hopefully entertaining all those within earshot.</t>
        </is>
      </c>
      <c r="G45" t="n">
        <v>111</v>
      </c>
    </row>
    <row r="46">
      <c r="A46" t="inlineStr">
        <is>
          <t>Entertain (Singing)</t>
        </is>
      </c>
      <c r="B46" t="inlineStr">
        <is>
          <t>Entertain</t>
        </is>
      </c>
      <c r="C46" t="inlineStr">
        <is>
          <t>Fel</t>
        </is>
      </c>
      <c r="D46" t="inlineStr">
        <is>
          <t>Basic</t>
        </is>
      </c>
      <c r="E46" t="inlineStr">
        <is>
          <t>Yes</t>
        </is>
      </c>
      <c r="F46" t="inlineStr">
        <is>
          <t>Delight crowds with the spoken word, perhaps by singing, acting, or attempting a few jokes — hopefully entertaining all those within earshot.</t>
        </is>
      </c>
      <c r="G46" t="n">
        <v>111</v>
      </c>
    </row>
    <row r="47">
      <c r="A47" t="inlineStr">
        <is>
          <t>Entertain (Speeches)</t>
        </is>
      </c>
      <c r="B47" t="inlineStr">
        <is>
          <t>Entertain</t>
        </is>
      </c>
      <c r="C47" t="inlineStr">
        <is>
          <t>Fel</t>
        </is>
      </c>
      <c r="D47" t="inlineStr">
        <is>
          <t>Basic</t>
        </is>
      </c>
      <c r="E47" t="inlineStr">
        <is>
          <t>Yes</t>
        </is>
      </c>
      <c r="F47" t="inlineStr">
        <is>
          <t>Delight crowds with the spoken word, perhaps by singing, acting, or attempting a few jokes — hopefully entertaining all those within earshot.</t>
        </is>
      </c>
      <c r="G47" t="n">
        <v>111</v>
      </c>
    </row>
    <row r="48">
      <c r="A48" t="inlineStr">
        <is>
          <t>Entertain (Storytelling)</t>
        </is>
      </c>
      <c r="B48" t="inlineStr">
        <is>
          <t>Entertain</t>
        </is>
      </c>
      <c r="C48" t="inlineStr">
        <is>
          <t>Fel</t>
        </is>
      </c>
      <c r="D48" t="inlineStr">
        <is>
          <t>Basic</t>
        </is>
      </c>
      <c r="E48" t="inlineStr">
        <is>
          <t>Yes</t>
        </is>
      </c>
      <c r="F48" t="inlineStr">
        <is>
          <t>Delight crowds with the spoken word, perhaps by singing, acting, or attempting a few jokes — hopefully entertaining all those within earshot.</t>
        </is>
      </c>
      <c r="G48" t="n">
        <v>111</v>
      </c>
    </row>
    <row r="49">
      <c r="A49" t="inlineStr">
        <is>
          <t>Entertain (Taunt)</t>
        </is>
      </c>
      <c r="B49" t="inlineStr">
        <is>
          <t>Entertain</t>
        </is>
      </c>
      <c r="C49" t="inlineStr">
        <is>
          <t>Fel</t>
        </is>
      </c>
      <c r="D49" t="inlineStr">
        <is>
          <t>Basic</t>
        </is>
      </c>
      <c r="E49" t="inlineStr">
        <is>
          <t>Yes</t>
        </is>
      </c>
      <c r="F49" t="inlineStr">
        <is>
          <t>Delight crowds with the spoken word, perhaps by singing, acting, or attempting a few jokes — hopefully entertaining all those within earshot.</t>
        </is>
      </c>
      <c r="G49" t="n">
        <v>111</v>
      </c>
    </row>
    <row r="50">
      <c r="A50" t="inlineStr">
        <is>
          <t>Evaluate</t>
        </is>
      </c>
      <c r="B50" t="inlineStr">
        <is>
          <t>Evaluate</t>
        </is>
      </c>
      <c r="C50" t="inlineStr">
        <is>
          <t>Int</t>
        </is>
      </c>
      <c r="D50" t="inlineStr">
        <is>
          <t>Advanced</t>
        </is>
      </c>
      <c r="E50" t="inlineStr">
        <is>
          <t>No</t>
        </is>
      </c>
      <c r="F50" t="inlineStr">
        <is>
          <t>Lets you determine the value of goods. Everybody is assumed to know the relative worth of general items, but Evaluate allows you to identify the value of curious and unique items, recognise forgeries, or spot flaws.</t>
        </is>
      </c>
      <c r="G50" t="n">
        <v>111</v>
      </c>
    </row>
    <row r="51">
      <c r="A51" t="inlineStr">
        <is>
          <t>Gamble</t>
        </is>
      </c>
      <c r="B51" t="inlineStr">
        <is>
          <t>Gamble</t>
        </is>
      </c>
      <c r="C51" t="inlineStr">
        <is>
          <t>Int</t>
        </is>
      </c>
      <c r="D51" t="inlineStr">
        <is>
          <t>Basic</t>
        </is>
      </c>
      <c r="E51" t="inlineStr">
        <is>
          <t>No</t>
        </is>
      </c>
      <c r="F51" t="inlineStr">
        <is>
          <t>Measure the likelihood that a bet will pay off, as well as successfully engage in various games of chance. If you wish to improve your chances through cheating, see page 135.</t>
        </is>
      </c>
      <c r="G51" t="n">
        <v>112</v>
      </c>
    </row>
    <row r="52">
      <c r="A52" t="inlineStr">
        <is>
          <t>Gossip</t>
        </is>
      </c>
      <c r="B52" t="inlineStr">
        <is>
          <t>Gossip</t>
        </is>
      </c>
      <c r="C52" t="inlineStr">
        <is>
          <t>Fel</t>
        </is>
      </c>
      <c r="D52" t="inlineStr">
        <is>
          <t>Basic</t>
        </is>
      </c>
      <c r="E52" t="inlineStr">
        <is>
          <t>No</t>
        </is>
      </c>
      <c r="F52" t="inlineStr">
        <is>
          <t>Ferret out interesting and useful news, and spread rumours of your own. Best practised at a town square, inn, well, or other gathering place.</t>
        </is>
      </c>
      <c r="G52" t="n">
        <v>112</v>
      </c>
    </row>
    <row r="53">
      <c r="A53" t="inlineStr">
        <is>
          <t>Haggle</t>
        </is>
      </c>
      <c r="B53" t="inlineStr">
        <is>
          <t>Haggle</t>
        </is>
      </c>
      <c r="C53" t="inlineStr">
        <is>
          <t>Fel</t>
        </is>
      </c>
      <c r="D53" t="inlineStr">
        <is>
          <t>Basic</t>
        </is>
      </c>
      <c r="E53" t="inlineStr">
        <is>
          <t>No</t>
        </is>
      </c>
      <c r="F53" t="inlineStr">
        <is>
          <t>Secure better deals when negotiating with others, when purchasing goods for example. Typically involves an Opposed Haggle Test (page 131).</t>
        </is>
      </c>
      <c r="G53" t="n">
        <v>112</v>
      </c>
    </row>
    <row r="54">
      <c r="A54" t="inlineStr">
        <is>
          <t>Heal</t>
        </is>
      </c>
      <c r="B54" t="inlineStr">
        <is>
          <t>Heal</t>
        </is>
      </c>
      <c r="C54" t="inlineStr">
        <is>
          <t>Int</t>
        </is>
      </c>
      <c r="D54" t="inlineStr">
        <is>
          <t>Advanced</t>
        </is>
      </c>
      <c r="E54" t="inlineStr">
        <is>
          <t>No</t>
        </is>
      </c>
      <c r="F54" t="inlineStr">
        <is>
          <t>You have been trained to deal with injuries and diseases. A successful Heal Test allows you to diagnose illness, treat a disease, heal wounds or staunch a Bleeding Condition. Full rules for illness, injury, and treatments can be found on page 172.</t>
        </is>
      </c>
      <c r="G54" t="n">
        <v>112</v>
      </c>
    </row>
    <row r="55">
      <c r="A55" t="inlineStr">
        <is>
          <t>Intimidate</t>
        </is>
      </c>
      <c r="B55" t="inlineStr">
        <is>
          <t>Intimidate</t>
        </is>
      </c>
      <c r="C55" t="inlineStr">
        <is>
          <t>S</t>
        </is>
      </c>
      <c r="D55" t="inlineStr">
        <is>
          <t>Basic</t>
        </is>
      </c>
      <c r="E55" t="inlineStr">
        <is>
          <t>No</t>
        </is>
      </c>
      <c r="F55" t="inlineStr">
        <is>
          <t>Coerce or frighten sentient creatures — generally with an overt threat, though sometimes a subtle implication or even a look is enough.</t>
        </is>
      </c>
      <c r="G55" t="n">
        <v>112</v>
      </c>
    </row>
    <row r="56">
      <c r="A56" t="inlineStr">
        <is>
          <t>Intuition</t>
        </is>
      </c>
      <c r="B56" t="inlineStr">
        <is>
          <t>Intuition</t>
        </is>
      </c>
      <c r="C56" t="inlineStr">
        <is>
          <t>I</t>
        </is>
      </c>
      <c r="D56" t="inlineStr">
        <is>
          <t>Basic</t>
        </is>
      </c>
      <c r="E56" t="inlineStr">
        <is>
          <t>No</t>
        </is>
      </c>
      <c r="F56" t="inlineStr">
        <is>
          <t>Gives you a feel for your surroundings, to notice when something is wrong, and read people to sense when they are lying or hiding something.</t>
        </is>
      </c>
      <c r="G56" t="n">
        <v>112</v>
      </c>
    </row>
    <row r="57">
      <c r="A57" t="inlineStr">
        <is>
          <t>Language (Battle Tongue)</t>
        </is>
      </c>
      <c r="B57" t="inlineStr">
        <is>
          <t>Language</t>
        </is>
      </c>
      <c r="C57" t="inlineStr">
        <is>
          <t>Int</t>
        </is>
      </c>
      <c r="D57" t="inlineStr">
        <is>
          <t>Advanced</t>
        </is>
      </c>
      <c r="E57" t="inlineStr">
        <is>
          <t>Yes</t>
        </is>
      </c>
      <c r="F57"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57" t="n">
        <v>112</v>
      </c>
    </row>
    <row r="58">
      <c r="A58" t="inlineStr">
        <is>
          <t>Language (Battle)</t>
        </is>
      </c>
      <c r="B58" t="inlineStr">
        <is>
          <t>Language</t>
        </is>
      </c>
      <c r="C58" t="inlineStr">
        <is>
          <t>Int</t>
        </is>
      </c>
      <c r="D58" t="inlineStr">
        <is>
          <t>Advanced</t>
        </is>
      </c>
      <c r="E58" t="inlineStr">
        <is>
          <t>Yes</t>
        </is>
      </c>
      <c r="F58"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58" t="n">
        <v>112</v>
      </c>
    </row>
    <row r="59">
      <c r="A59" t="inlineStr">
        <is>
          <t>Language (Bretonnian)</t>
        </is>
      </c>
      <c r="B59" t="inlineStr">
        <is>
          <t>Language</t>
        </is>
      </c>
      <c r="C59" t="inlineStr">
        <is>
          <t>Int</t>
        </is>
      </c>
      <c r="D59" t="inlineStr">
        <is>
          <t>Advanced</t>
        </is>
      </c>
      <c r="E59" t="inlineStr">
        <is>
          <t>Yes</t>
        </is>
      </c>
      <c r="F59"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59" t="n">
        <v>112</v>
      </c>
    </row>
    <row r="60">
      <c r="A60" t="inlineStr">
        <is>
          <t>Language (Classical)</t>
        </is>
      </c>
      <c r="B60" t="inlineStr">
        <is>
          <t>Language</t>
        </is>
      </c>
      <c r="C60" t="inlineStr">
        <is>
          <t>Int</t>
        </is>
      </c>
      <c r="D60" t="inlineStr">
        <is>
          <t>Advanced</t>
        </is>
      </c>
      <c r="E60" t="inlineStr">
        <is>
          <t>Yes</t>
        </is>
      </c>
      <c r="F60"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60" t="n">
        <v>112</v>
      </c>
    </row>
    <row r="61">
      <c r="A61" t="inlineStr">
        <is>
          <t>Language (Eltharin)</t>
        </is>
      </c>
      <c r="B61" t="inlineStr">
        <is>
          <t>Language</t>
        </is>
      </c>
      <c r="C61" t="inlineStr">
        <is>
          <t>Int</t>
        </is>
      </c>
      <c r="D61" t="inlineStr">
        <is>
          <t>Advanced</t>
        </is>
      </c>
      <c r="E61" t="inlineStr">
        <is>
          <t>Yes</t>
        </is>
      </c>
      <c r="F61"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61" t="n">
        <v>112</v>
      </c>
    </row>
    <row r="62">
      <c r="A62" t="inlineStr">
        <is>
          <t>Language (Estalian)</t>
        </is>
      </c>
      <c r="B62" t="inlineStr">
        <is>
          <t>Language</t>
        </is>
      </c>
      <c r="C62" t="inlineStr">
        <is>
          <t>Int</t>
        </is>
      </c>
      <c r="D62" t="inlineStr">
        <is>
          <t>Advanced</t>
        </is>
      </c>
      <c r="E62" t="inlineStr">
        <is>
          <t>Yes</t>
        </is>
      </c>
      <c r="F62"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62" t="n">
        <v>112</v>
      </c>
    </row>
    <row r="63">
      <c r="A63" t="inlineStr">
        <is>
          <t>Language (Guilder)</t>
        </is>
      </c>
      <c r="B63" t="inlineStr">
        <is>
          <t>Language</t>
        </is>
      </c>
      <c r="C63" t="inlineStr">
        <is>
          <t>Int</t>
        </is>
      </c>
      <c r="D63" t="inlineStr">
        <is>
          <t>Advanced</t>
        </is>
      </c>
      <c r="E63" t="inlineStr">
        <is>
          <t>Yes</t>
        </is>
      </c>
      <c r="F63"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63" t="n">
        <v>112</v>
      </c>
    </row>
    <row r="64">
      <c r="A64" t="inlineStr">
        <is>
          <t>Language (Haffennaff)</t>
        </is>
      </c>
      <c r="B64" t="inlineStr">
        <is>
          <t>Language</t>
        </is>
      </c>
      <c r="C64" t="inlineStr">
        <is>
          <t>Int</t>
        </is>
      </c>
      <c r="D64" t="inlineStr">
        <is>
          <t>Advanced</t>
        </is>
      </c>
      <c r="E64" t="inlineStr">
        <is>
          <t>Yes</t>
        </is>
      </c>
      <c r="F64"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64" t="n">
        <v>112</v>
      </c>
    </row>
    <row r="65">
      <c r="A65" t="inlineStr">
        <is>
          <t>Language (Khazalid)</t>
        </is>
      </c>
      <c r="B65" t="inlineStr">
        <is>
          <t>Language</t>
        </is>
      </c>
      <c r="C65" t="inlineStr">
        <is>
          <t>Int</t>
        </is>
      </c>
      <c r="D65" t="inlineStr">
        <is>
          <t>Advanced</t>
        </is>
      </c>
      <c r="E65" t="inlineStr">
        <is>
          <t>Yes</t>
        </is>
      </c>
      <c r="F65"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65" t="n">
        <v>112</v>
      </c>
    </row>
    <row r="66">
      <c r="A66" t="inlineStr">
        <is>
          <t>Language (Kislevite)</t>
        </is>
      </c>
      <c r="B66" t="inlineStr">
        <is>
          <t>Language</t>
        </is>
      </c>
      <c r="C66" t="inlineStr">
        <is>
          <t>Int</t>
        </is>
      </c>
      <c r="D66" t="inlineStr">
        <is>
          <t>Advanced</t>
        </is>
      </c>
      <c r="E66" t="inlineStr">
        <is>
          <t>Yes</t>
        </is>
      </c>
      <c r="F66"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66" t="n">
        <v>112</v>
      </c>
    </row>
    <row r="67">
      <c r="A67" t="inlineStr">
        <is>
          <t>Language (Magick)</t>
        </is>
      </c>
      <c r="B67" t="inlineStr">
        <is>
          <t>Language</t>
        </is>
      </c>
      <c r="C67" t="inlineStr">
        <is>
          <t>Int</t>
        </is>
      </c>
      <c r="D67" t="inlineStr">
        <is>
          <t>Advanced</t>
        </is>
      </c>
      <c r="E67" t="inlineStr">
        <is>
          <t>Yes</t>
        </is>
      </c>
      <c r="F67"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67" t="n">
        <v>112</v>
      </c>
    </row>
    <row r="68">
      <c r="A68" t="inlineStr">
        <is>
          <t>Language (Norse)</t>
        </is>
      </c>
      <c r="B68" t="inlineStr">
        <is>
          <t>Language</t>
        </is>
      </c>
      <c r="C68" t="inlineStr">
        <is>
          <t>Int</t>
        </is>
      </c>
      <c r="D68" t="inlineStr">
        <is>
          <t>Advanced</t>
        </is>
      </c>
      <c r="E68" t="inlineStr">
        <is>
          <t>Yes</t>
        </is>
      </c>
      <c r="F68"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68" t="n">
        <v>112</v>
      </c>
    </row>
    <row r="69">
      <c r="A69" t="inlineStr">
        <is>
          <t>Language (Reikspiel)</t>
        </is>
      </c>
      <c r="B69" t="inlineStr">
        <is>
          <t>Language</t>
        </is>
      </c>
      <c r="C69" t="inlineStr">
        <is>
          <t>Int</t>
        </is>
      </c>
      <c r="D69" t="inlineStr">
        <is>
          <t>Advanced</t>
        </is>
      </c>
      <c r="E69" t="inlineStr">
        <is>
          <t>Yes</t>
        </is>
      </c>
      <c r="F69"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69" t="n">
        <v>112</v>
      </c>
    </row>
    <row r="70">
      <c r="A70" t="inlineStr">
        <is>
          <t>Language (Thieves Tongue)</t>
        </is>
      </c>
      <c r="B70" t="inlineStr">
        <is>
          <t>Language</t>
        </is>
      </c>
      <c r="C70" t="inlineStr">
        <is>
          <t>Int</t>
        </is>
      </c>
      <c r="D70" t="inlineStr">
        <is>
          <t>Advanced</t>
        </is>
      </c>
      <c r="E70" t="inlineStr">
        <is>
          <t>Yes</t>
        </is>
      </c>
      <c r="F70"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70" t="n">
        <v>112</v>
      </c>
    </row>
    <row r="71">
      <c r="A71" t="inlineStr">
        <is>
          <t>Language (Tilean)</t>
        </is>
      </c>
      <c r="B71" t="inlineStr">
        <is>
          <t>Language</t>
        </is>
      </c>
      <c r="C71" t="inlineStr">
        <is>
          <t>Int</t>
        </is>
      </c>
      <c r="D71" t="inlineStr">
        <is>
          <t>Advanced</t>
        </is>
      </c>
      <c r="E71" t="inlineStr">
        <is>
          <t>Yes</t>
        </is>
      </c>
      <c r="F71"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71" t="n">
        <v>112</v>
      </c>
    </row>
    <row r="72">
      <c r="A72" t="inlineStr">
        <is>
          <t>Language (Wastelander)</t>
        </is>
      </c>
      <c r="B72" t="inlineStr">
        <is>
          <t>Language</t>
        </is>
      </c>
      <c r="C72" t="inlineStr">
        <is>
          <t>Int</t>
        </is>
      </c>
      <c r="D72" t="inlineStr">
        <is>
          <t>Advanced</t>
        </is>
      </c>
      <c r="E72" t="inlineStr">
        <is>
          <t>Yes</t>
        </is>
      </c>
      <c r="F72" t="inlineStr">
        <is>
          <t>See page 149. Access to extra languages beyond your native tongue. A single Advance is enough to make yourself understood in that language, but a Test may be required to comprehend complicated discussions. Once you have 4 Advances, you count as fluent and no longer need to make Tests.</t>
        </is>
      </c>
      <c r="G72" t="n">
        <v>112</v>
      </c>
    </row>
    <row r="73">
      <c r="A73" t="inlineStr">
        <is>
          <t>Leadership</t>
        </is>
      </c>
      <c r="B73" t="inlineStr">
        <is>
          <t>Leadership</t>
        </is>
      </c>
      <c r="C73" t="inlineStr">
        <is>
          <t>Fel</t>
        </is>
      </c>
      <c r="D73" t="inlineStr">
        <is>
          <t>Basic</t>
        </is>
      </c>
      <c r="E73" t="inlineStr">
        <is>
          <t>No</t>
        </is>
      </c>
      <c r="F73" t="inlineStr">
        <is>
          <t>Your ability to lead others and command respect. While most often associated with martial situations, a resolute leader can quickly direct a fast response to a fire or other such calamity, and nobles use the Skill frequently to command their lessers.</t>
        </is>
      </c>
      <c r="G73" t="n">
        <v>112</v>
      </c>
    </row>
    <row r="74">
      <c r="A74" t="inlineStr">
        <is>
          <t>Lore (Art)</t>
        </is>
      </c>
      <c r="B74" t="inlineStr">
        <is>
          <t>Lore</t>
        </is>
      </c>
      <c r="C74" t="inlineStr">
        <is>
          <t>Int</t>
        </is>
      </c>
      <c r="D74" t="inlineStr">
        <is>
          <t>Advanced</t>
        </is>
      </c>
      <c r="E74" t="inlineStr">
        <is>
          <t>Yes</t>
        </is>
      </c>
      <c r="F74" t="inlineStr">
        <is>
          <t>Knowledge of a subject you have been taught or have first-hand knowledge of. Basic facts related to a specific Lore Skill can be recalled easily, with a Test required only to recall obscure or unusual information.</t>
        </is>
      </c>
      <c r="G74" t="n">
        <v>112</v>
      </c>
    </row>
    <row r="75">
      <c r="A75" t="inlineStr">
        <is>
          <t>Lore (Astrology)</t>
        </is>
      </c>
      <c r="B75" t="inlineStr">
        <is>
          <t>Lore</t>
        </is>
      </c>
      <c r="C75" t="inlineStr">
        <is>
          <t>Int</t>
        </is>
      </c>
      <c r="D75" t="inlineStr">
        <is>
          <t>Advanced</t>
        </is>
      </c>
      <c r="E75" t="inlineStr">
        <is>
          <t>Yes</t>
        </is>
      </c>
      <c r="F75" t="inlineStr">
        <is>
          <t>Knowledge of a subject you have been taught or have first-hand knowledge of. Basic facts related to a specific Lore Skill can be recalled easily, with a Test required only to recall obscure or unusual information.</t>
        </is>
      </c>
      <c r="G75" t="n">
        <v>112</v>
      </c>
    </row>
    <row r="76">
      <c r="A76" t="inlineStr">
        <is>
          <t>Lore (Beasts)</t>
        </is>
      </c>
      <c r="B76" t="inlineStr">
        <is>
          <t>Lore</t>
        </is>
      </c>
      <c r="C76" t="inlineStr">
        <is>
          <t>Int</t>
        </is>
      </c>
      <c r="D76" t="inlineStr">
        <is>
          <t>Advanced</t>
        </is>
      </c>
      <c r="E76" t="inlineStr">
        <is>
          <t>Yes</t>
        </is>
      </c>
      <c r="F76" t="inlineStr">
        <is>
          <t>Knowledge of a subject you have been taught or have first-hand knowledge of. Basic facts related to a specific Lore Skill can be recalled easily, with a Test required only to recall obscure or unusual information.</t>
        </is>
      </c>
      <c r="G76" t="n">
        <v>112</v>
      </c>
    </row>
    <row r="77">
      <c r="A77" t="inlineStr">
        <is>
          <t>Lore (Chaos)</t>
        </is>
      </c>
      <c r="B77" t="inlineStr">
        <is>
          <t>Lore</t>
        </is>
      </c>
      <c r="C77" t="inlineStr">
        <is>
          <t>Int</t>
        </is>
      </c>
      <c r="D77" t="inlineStr">
        <is>
          <t>Advanced</t>
        </is>
      </c>
      <c r="E77" t="inlineStr">
        <is>
          <t>Yes</t>
        </is>
      </c>
      <c r="F77" t="inlineStr">
        <is>
          <t>Knowledge of a subject you have been taught or have first-hand knowledge of. Basic facts related to a specific Lore Skill can be recalled easily, with a Test required only to recall obscure or unusual information.</t>
        </is>
      </c>
      <c r="G77" t="n">
        <v>112</v>
      </c>
    </row>
    <row r="78">
      <c r="A78" t="inlineStr">
        <is>
          <t>Lore (Chemistry)</t>
        </is>
      </c>
      <c r="B78" t="inlineStr">
        <is>
          <t>Lore</t>
        </is>
      </c>
      <c r="C78" t="inlineStr">
        <is>
          <t>Int</t>
        </is>
      </c>
      <c r="D78" t="inlineStr">
        <is>
          <t>Advanced</t>
        </is>
      </c>
      <c r="E78" t="inlineStr">
        <is>
          <t>Yes</t>
        </is>
      </c>
      <c r="F78" t="inlineStr">
        <is>
          <t>Knowledge of a subject you have been taught or have first-hand knowledge of. Basic facts related to a specific Lore Skill can be recalled easily, with a Test required only to recall obscure or unusual information.</t>
        </is>
      </c>
      <c r="G78" t="n">
        <v>112</v>
      </c>
    </row>
    <row r="79">
      <c r="A79" t="inlineStr">
        <is>
          <t>Lore (Daemons)</t>
        </is>
      </c>
      <c r="B79" t="inlineStr">
        <is>
          <t>Lore</t>
        </is>
      </c>
      <c r="C79" t="inlineStr">
        <is>
          <t>Int</t>
        </is>
      </c>
      <c r="D79" t="inlineStr">
        <is>
          <t>Advanced</t>
        </is>
      </c>
      <c r="E79" t="inlineStr">
        <is>
          <t>Yes</t>
        </is>
      </c>
      <c r="F79" t="inlineStr">
        <is>
          <t>Knowledge of a subject you have been taught or have first-hand knowledge of. Basic facts related to a specific Lore Skill can be recalled easily, with a Test required only to recall obscure or unusual information.</t>
        </is>
      </c>
      <c r="G79" t="n">
        <v>112</v>
      </c>
    </row>
    <row r="80">
      <c r="A80" t="inlineStr">
        <is>
          <t>Lore (Dragons)</t>
        </is>
      </c>
      <c r="B80" t="inlineStr">
        <is>
          <t>Lore</t>
        </is>
      </c>
      <c r="C80" t="inlineStr">
        <is>
          <t>Int</t>
        </is>
      </c>
      <c r="D80" t="inlineStr">
        <is>
          <t>Advanced</t>
        </is>
      </c>
      <c r="E80" t="inlineStr">
        <is>
          <t>Yes</t>
        </is>
      </c>
      <c r="F80" t="inlineStr">
        <is>
          <t>Knowledge of a subject you have been taught or have first-hand knowledge of. Basic facts related to a specific Lore Skill can be recalled easily, with a Test required only to recall obscure or unusual information.</t>
        </is>
      </c>
      <c r="G80" t="n">
        <v>112</v>
      </c>
    </row>
    <row r="81">
      <c r="A81" t="inlineStr">
        <is>
          <t>Lore (Dwarfs)</t>
        </is>
      </c>
      <c r="B81" t="inlineStr">
        <is>
          <t>Lore</t>
        </is>
      </c>
      <c r="C81" t="inlineStr">
        <is>
          <t>Int</t>
        </is>
      </c>
      <c r="D81" t="inlineStr">
        <is>
          <t>Advanced</t>
        </is>
      </c>
      <c r="E81" t="inlineStr">
        <is>
          <t>Yes</t>
        </is>
      </c>
      <c r="F81" t="inlineStr">
        <is>
          <t>Knowledge of a subject you have been taught or have first-hand knowledge of. Basic facts related to a specific Lore Skill can be recalled easily, with a Test required only to recall obscure or unusual information.</t>
        </is>
      </c>
      <c r="G81" t="n">
        <v>112</v>
      </c>
    </row>
    <row r="82">
      <c r="A82" t="inlineStr">
        <is>
          <t>Lore (Engineering)</t>
        </is>
      </c>
      <c r="B82" t="inlineStr">
        <is>
          <t>Lore</t>
        </is>
      </c>
      <c r="C82" t="inlineStr">
        <is>
          <t>Int</t>
        </is>
      </c>
      <c r="D82" t="inlineStr">
        <is>
          <t>Advanced</t>
        </is>
      </c>
      <c r="E82" t="inlineStr">
        <is>
          <t>Yes</t>
        </is>
      </c>
      <c r="F82" t="inlineStr">
        <is>
          <t>Knowledge of a subject you have been taught or have first-hand knowledge of. Basic facts related to a specific Lore Skill can be recalled easily, with a Test required only to recall obscure or unusual information.</t>
        </is>
      </c>
      <c r="G82" t="n">
        <v>112</v>
      </c>
    </row>
    <row r="83">
      <c r="A83" t="inlineStr">
        <is>
          <t>Lore (Folklore)</t>
        </is>
      </c>
      <c r="B83" t="inlineStr">
        <is>
          <t>Lore</t>
        </is>
      </c>
      <c r="C83" t="inlineStr">
        <is>
          <t>Int</t>
        </is>
      </c>
      <c r="D83" t="inlineStr">
        <is>
          <t>Advanced</t>
        </is>
      </c>
      <c r="E83" t="inlineStr">
        <is>
          <t>Yes</t>
        </is>
      </c>
      <c r="F83" t="inlineStr">
        <is>
          <t>Knowledge of a subject you have been taught or have first-hand knowledge of. Basic facts related to a specific Lore Skill can be recalled easily, with a Test required only to recall obscure or unusual information.</t>
        </is>
      </c>
      <c r="G83" t="n">
        <v>112</v>
      </c>
    </row>
    <row r="84">
      <c r="A84" t="inlineStr">
        <is>
          <t>Lore (Genealogy)</t>
        </is>
      </c>
      <c r="B84" t="inlineStr">
        <is>
          <t>Lore</t>
        </is>
      </c>
      <c r="C84" t="inlineStr">
        <is>
          <t>Int</t>
        </is>
      </c>
      <c r="D84" t="inlineStr">
        <is>
          <t>Advanced</t>
        </is>
      </c>
      <c r="E84" t="inlineStr">
        <is>
          <t>Yes</t>
        </is>
      </c>
      <c r="F84" t="inlineStr">
        <is>
          <t>Knowledge of a subject you have been taught or have first-hand knowledge of. Basic facts related to a specific Lore Skill can be recalled easily, with a Test required only to recall obscure or unusual information.</t>
        </is>
      </c>
      <c r="G84" t="n">
        <v>112</v>
      </c>
    </row>
    <row r="85">
      <c r="A85" t="inlineStr">
        <is>
          <t>Lore (Geography)</t>
        </is>
      </c>
      <c r="B85" t="inlineStr">
        <is>
          <t>Lore</t>
        </is>
      </c>
      <c r="C85" t="inlineStr">
        <is>
          <t>Int</t>
        </is>
      </c>
      <c r="D85" t="inlineStr">
        <is>
          <t>Advanced</t>
        </is>
      </c>
      <c r="E85" t="inlineStr">
        <is>
          <t>Yes</t>
        </is>
      </c>
      <c r="F85" t="inlineStr">
        <is>
          <t>Knowledge of a subject you have been taught or have first-hand knowledge of. Basic facts related to a specific Lore Skill can be recalled easily, with a Test required only to recall obscure or unusual information.</t>
        </is>
      </c>
      <c r="G85" t="n">
        <v>112</v>
      </c>
    </row>
    <row r="86">
      <c r="A86" t="inlineStr">
        <is>
          <t>Lore (Geology)</t>
        </is>
      </c>
      <c r="B86" t="inlineStr">
        <is>
          <t>Lore</t>
        </is>
      </c>
      <c r="C86" t="inlineStr">
        <is>
          <t>Int</t>
        </is>
      </c>
      <c r="D86" t="inlineStr">
        <is>
          <t>Advanced</t>
        </is>
      </c>
      <c r="E86" t="inlineStr">
        <is>
          <t>Yes</t>
        </is>
      </c>
      <c r="F86" t="inlineStr">
        <is>
          <t>Knowledge of a subject you have been taught or have first-hand knowledge of. Basic facts related to a specific Lore Skill can be recalled easily, with a Test required only to recall obscure or unusual information.</t>
        </is>
      </c>
      <c r="G86" t="n">
        <v>112</v>
      </c>
    </row>
    <row r="87">
      <c r="A87" t="inlineStr">
        <is>
          <t>Lore (Giants)</t>
        </is>
      </c>
      <c r="B87" t="inlineStr">
        <is>
          <t>Lore</t>
        </is>
      </c>
      <c r="C87" t="inlineStr">
        <is>
          <t>Int</t>
        </is>
      </c>
      <c r="D87" t="inlineStr">
        <is>
          <t>Advanced</t>
        </is>
      </c>
      <c r="E87" t="inlineStr">
        <is>
          <t>Yes</t>
        </is>
      </c>
      <c r="F87" t="inlineStr">
        <is>
          <t>Knowledge of a subject you have been taught or have first-hand knowledge of. Basic facts related to a specific Lore Skill can be recalled easily, with a Test required only to recall obscure or unusual information.</t>
        </is>
      </c>
      <c r="G87" t="n">
        <v>112</v>
      </c>
    </row>
    <row r="88">
      <c r="A88" t="inlineStr">
        <is>
          <t>Lore (Heraldry)</t>
        </is>
      </c>
      <c r="B88" t="inlineStr">
        <is>
          <t>Lore</t>
        </is>
      </c>
      <c r="C88" t="inlineStr">
        <is>
          <t>Int</t>
        </is>
      </c>
      <c r="D88" t="inlineStr">
        <is>
          <t>Advanced</t>
        </is>
      </c>
      <c r="E88" t="inlineStr">
        <is>
          <t>Yes</t>
        </is>
      </c>
      <c r="F88" t="inlineStr">
        <is>
          <t>Knowledge of a subject you have been taught or have first-hand knowledge of. Basic facts related to a specific Lore Skill can be recalled easily, with a Test required only to recall obscure or unusual information.</t>
        </is>
      </c>
      <c r="G88" t="n">
        <v>112</v>
      </c>
    </row>
    <row r="89">
      <c r="A89" t="inlineStr">
        <is>
          <t>Lore (Herbs)</t>
        </is>
      </c>
      <c r="B89" t="inlineStr">
        <is>
          <t>Lore</t>
        </is>
      </c>
      <c r="C89" t="inlineStr">
        <is>
          <t>Int</t>
        </is>
      </c>
      <c r="D89" t="inlineStr">
        <is>
          <t>Advanced</t>
        </is>
      </c>
      <c r="E89" t="inlineStr">
        <is>
          <t>Yes</t>
        </is>
      </c>
      <c r="F89" t="inlineStr">
        <is>
          <t>Knowledge of a subject you have been taught or have first-hand knowledge of. Basic facts related to a specific Lore Skill can be recalled easily, with a Test required only to recall obscure or unusual information.</t>
        </is>
      </c>
      <c r="G89" t="n">
        <v>112</v>
      </c>
    </row>
    <row r="90">
      <c r="A90" t="inlineStr">
        <is>
          <t>Lore (History)</t>
        </is>
      </c>
      <c r="B90" t="inlineStr">
        <is>
          <t>Lore</t>
        </is>
      </c>
      <c r="C90" t="inlineStr">
        <is>
          <t>Int</t>
        </is>
      </c>
      <c r="D90" t="inlineStr">
        <is>
          <t>Advanced</t>
        </is>
      </c>
      <c r="E90" t="inlineStr">
        <is>
          <t>Yes</t>
        </is>
      </c>
      <c r="F90" t="inlineStr">
        <is>
          <t>Knowledge of a subject you have been taught or have first-hand knowledge of. Basic facts related to a specific Lore Skill can be recalled easily, with a Test required only to recall obscure or unusual information.</t>
        </is>
      </c>
      <c r="G90" t="n">
        <v>112</v>
      </c>
    </row>
    <row r="91">
      <c r="A91" t="inlineStr">
        <is>
          <t>Lore (Law)</t>
        </is>
      </c>
      <c r="B91" t="inlineStr">
        <is>
          <t>Lore</t>
        </is>
      </c>
      <c r="C91" t="inlineStr">
        <is>
          <t>Int</t>
        </is>
      </c>
      <c r="D91" t="inlineStr">
        <is>
          <t>Advanced</t>
        </is>
      </c>
      <c r="E91" t="inlineStr">
        <is>
          <t>Yes</t>
        </is>
      </c>
      <c r="F91" t="inlineStr">
        <is>
          <t>Knowledge of a subject you have been taught or have first-hand knowledge of. Basic facts related to a specific Lore Skill can be recalled easily, with a Test required only to recall obscure or unusual information.</t>
        </is>
      </c>
      <c r="G91" t="n">
        <v>112</v>
      </c>
    </row>
    <row r="92">
      <c r="A92" t="inlineStr">
        <is>
          <t>Lore (Local)</t>
        </is>
      </c>
      <c r="B92" t="inlineStr">
        <is>
          <t>Lore</t>
        </is>
      </c>
      <c r="C92" t="inlineStr">
        <is>
          <t>Int</t>
        </is>
      </c>
      <c r="D92" t="inlineStr">
        <is>
          <t>Advanced</t>
        </is>
      </c>
      <c r="E92" t="inlineStr">
        <is>
          <t>Yes</t>
        </is>
      </c>
      <c r="F92" t="inlineStr">
        <is>
          <t>Knowledge of a subject you have been taught or have first-hand knowledge of. Basic facts related to a specific Lore Skill can be recalled easily, with a Test required only to recall obscure or unusual information.</t>
        </is>
      </c>
      <c r="G92" t="n">
        <v>112</v>
      </c>
    </row>
    <row r="93">
      <c r="A93" t="inlineStr">
        <is>
          <t>Lore (Magic)</t>
        </is>
      </c>
      <c r="B93" t="inlineStr">
        <is>
          <t>Lore</t>
        </is>
      </c>
      <c r="C93" t="inlineStr">
        <is>
          <t>Int</t>
        </is>
      </c>
      <c r="D93" t="inlineStr">
        <is>
          <t>Advanced</t>
        </is>
      </c>
      <c r="E93" t="inlineStr">
        <is>
          <t>Yes</t>
        </is>
      </c>
      <c r="F93" t="inlineStr">
        <is>
          <t>Knowledge of a subject you have been taught or have first-hand knowledge of. Basic facts related to a specific Lore Skill can be recalled easily, with a Test required only to recall obscure or unusual information.</t>
        </is>
      </c>
      <c r="G93" t="n">
        <v>112</v>
      </c>
    </row>
    <row r="94">
      <c r="A94" t="inlineStr">
        <is>
          <t>Lore (Medicine)</t>
        </is>
      </c>
      <c r="B94" t="inlineStr">
        <is>
          <t>Lore</t>
        </is>
      </c>
      <c r="C94" t="inlineStr">
        <is>
          <t>Int</t>
        </is>
      </c>
      <c r="D94" t="inlineStr">
        <is>
          <t>Advanced</t>
        </is>
      </c>
      <c r="E94" t="inlineStr">
        <is>
          <t>Yes</t>
        </is>
      </c>
      <c r="F94" t="inlineStr">
        <is>
          <t>Knowledge of a subject you have been taught or have first-hand knowledge of. Basic facts related to a specific Lore Skill can be recalled easily, with a Test required only to recall obscure or unusual information.</t>
        </is>
      </c>
      <c r="G94" t="n">
        <v>112</v>
      </c>
    </row>
    <row r="95">
      <c r="A95" t="inlineStr">
        <is>
          <t>Lore (Metallurgy)</t>
        </is>
      </c>
      <c r="B95" t="inlineStr">
        <is>
          <t>Lore</t>
        </is>
      </c>
      <c r="C95" t="inlineStr">
        <is>
          <t>Int</t>
        </is>
      </c>
      <c r="D95" t="inlineStr">
        <is>
          <t>Advanced</t>
        </is>
      </c>
      <c r="E95" t="inlineStr">
        <is>
          <t>Yes</t>
        </is>
      </c>
      <c r="F95" t="inlineStr">
        <is>
          <t>Knowledge of a subject you have been taught or have first-hand knowledge of. Basic facts related to a specific Lore Skill can be recalled easily, with a Test required only to recall obscure or unusual information.</t>
        </is>
      </c>
      <c r="G95" t="n">
        <v>112</v>
      </c>
    </row>
    <row r="96">
      <c r="A96" t="inlineStr">
        <is>
          <t>Lore (Oceans)</t>
        </is>
      </c>
      <c r="B96" t="inlineStr">
        <is>
          <t>Lore</t>
        </is>
      </c>
      <c r="C96" t="inlineStr">
        <is>
          <t>Int</t>
        </is>
      </c>
      <c r="D96" t="inlineStr">
        <is>
          <t>Advanced</t>
        </is>
      </c>
      <c r="E96" t="inlineStr">
        <is>
          <t>Yes</t>
        </is>
      </c>
      <c r="F96" t="inlineStr">
        <is>
          <t>Knowledge of a subject you have been taught or have first-hand knowledge of. Basic facts related to a specific Lore Skill can be recalled easily, with a Test required only to recall obscure or unusual information.</t>
        </is>
      </c>
      <c r="G96" t="n">
        <v>112</v>
      </c>
    </row>
    <row r="97">
      <c r="A97" t="inlineStr">
        <is>
          <t>Lore (Politics)</t>
        </is>
      </c>
      <c r="B97" t="inlineStr">
        <is>
          <t>Lore</t>
        </is>
      </c>
      <c r="C97" t="inlineStr">
        <is>
          <t>Int</t>
        </is>
      </c>
      <c r="D97" t="inlineStr">
        <is>
          <t>Advanced</t>
        </is>
      </c>
      <c r="E97" t="inlineStr">
        <is>
          <t>Yes</t>
        </is>
      </c>
      <c r="F97" t="inlineStr">
        <is>
          <t>Knowledge of a subject you have been taught or have first-hand knowledge of. Basic facts related to a specific Lore Skill can be recalled easily, with a Test required only to recall obscure or unusual information.</t>
        </is>
      </c>
      <c r="G97" t="n">
        <v>112</v>
      </c>
    </row>
    <row r="98">
      <c r="A98" t="inlineStr">
        <is>
          <t>Lore (Prophecy)</t>
        </is>
      </c>
      <c r="B98" t="inlineStr">
        <is>
          <t>Lore</t>
        </is>
      </c>
      <c r="C98" t="inlineStr">
        <is>
          <t>Int</t>
        </is>
      </c>
      <c r="D98" t="inlineStr">
        <is>
          <t>Advanced</t>
        </is>
      </c>
      <c r="E98" t="inlineStr">
        <is>
          <t>Yes</t>
        </is>
      </c>
      <c r="F98" t="inlineStr">
        <is>
          <t>Knowledge of a subject you have been taught or have first-hand knowledge of. Basic facts related to a specific Lore Skill can be recalled easily, with a Test required only to recall obscure or unusual information.</t>
        </is>
      </c>
      <c r="G98" t="n">
        <v>112</v>
      </c>
    </row>
    <row r="99">
      <c r="A99" t="inlineStr">
        <is>
          <t>Lore (Rats)</t>
        </is>
      </c>
      <c r="B99" t="inlineStr">
        <is>
          <t>Lore</t>
        </is>
      </c>
      <c r="C99" t="inlineStr">
        <is>
          <t>Int</t>
        </is>
      </c>
      <c r="D99" t="inlineStr">
        <is>
          <t>Advanced</t>
        </is>
      </c>
      <c r="E99" t="inlineStr">
        <is>
          <t>Yes</t>
        </is>
      </c>
      <c r="F99" t="inlineStr">
        <is>
          <t>Knowledge of a subject you have been taught or have first-hand knowledge of. Basic facts related to a specific Lore Skill can be recalled easily, with a Test required only to recall obscure or unusual information.</t>
        </is>
      </c>
      <c r="G99" t="n">
        <v>112</v>
      </c>
    </row>
    <row r="100">
      <c r="A100" t="inlineStr">
        <is>
          <t>Lore (Reikland)</t>
        </is>
      </c>
      <c r="B100" t="inlineStr">
        <is>
          <t>Lore</t>
        </is>
      </c>
      <c r="C100" t="inlineStr">
        <is>
          <t>Int</t>
        </is>
      </c>
      <c r="D100" t="inlineStr">
        <is>
          <t>Advanced</t>
        </is>
      </c>
      <c r="E100" t="inlineStr">
        <is>
          <t>Yes</t>
        </is>
      </c>
      <c r="F100" t="inlineStr">
        <is>
          <t>Knowledge of a subject you have been taught or have first-hand knowledge of. Basic facts related to a specific Lore Skill can be recalled easily, with a Test required only to recall obscure or unusual information.</t>
        </is>
      </c>
      <c r="G100" t="n">
        <v>112</v>
      </c>
    </row>
    <row r="101">
      <c r="A101" t="inlineStr">
        <is>
          <t>Lore (Riverways)</t>
        </is>
      </c>
      <c r="B101" t="inlineStr">
        <is>
          <t>Lore</t>
        </is>
      </c>
      <c r="C101" t="inlineStr">
        <is>
          <t>Int</t>
        </is>
      </c>
      <c r="D101" t="inlineStr">
        <is>
          <t>Advanced</t>
        </is>
      </c>
      <c r="E101" t="inlineStr">
        <is>
          <t>Yes</t>
        </is>
      </c>
      <c r="F101" t="inlineStr">
        <is>
          <t>Knowledge of a subject you have been taught or have first-hand knowledge of. Basic facts related to a specific Lore Skill can be recalled easily, with a Test required only to recall obscure or unusual information.</t>
        </is>
      </c>
      <c r="G101" t="n">
        <v>112</v>
      </c>
    </row>
    <row r="102">
      <c r="A102" t="inlineStr">
        <is>
          <t>Lore (Routes)</t>
        </is>
      </c>
      <c r="B102" t="inlineStr">
        <is>
          <t>Lore</t>
        </is>
      </c>
      <c r="C102" t="inlineStr">
        <is>
          <t>Int</t>
        </is>
      </c>
      <c r="D102" t="inlineStr">
        <is>
          <t>Advanced</t>
        </is>
      </c>
      <c r="E102" t="inlineStr">
        <is>
          <t>Yes</t>
        </is>
      </c>
      <c r="F102" t="inlineStr">
        <is>
          <t>Knowledge of a subject you have been taught or have first-hand knowledge of. Basic facts related to a specific Lore Skill can be recalled easily, with a Test required only to recall obscure or unusual information.</t>
        </is>
      </c>
      <c r="G102" t="n">
        <v>112</v>
      </c>
    </row>
    <row r="103">
      <c r="A103" t="inlineStr">
        <is>
          <t>Lore (Science)</t>
        </is>
      </c>
      <c r="B103" t="inlineStr">
        <is>
          <t>Lore</t>
        </is>
      </c>
      <c r="C103" t="inlineStr">
        <is>
          <t>Int</t>
        </is>
      </c>
      <c r="D103" t="inlineStr">
        <is>
          <t>Advanced</t>
        </is>
      </c>
      <c r="E103" t="inlineStr">
        <is>
          <t>Yes</t>
        </is>
      </c>
      <c r="F103" t="inlineStr">
        <is>
          <t>Knowledge of a subject you have been taught or have first-hand knowledge of. Basic facts related to a specific Lore Skill can be recalled easily, with a Test required only to recall obscure or unusual information.</t>
        </is>
      </c>
      <c r="G103" t="n">
        <v>112</v>
      </c>
    </row>
    <row r="104">
      <c r="A104" t="inlineStr">
        <is>
          <t>Lore (Sigmar)</t>
        </is>
      </c>
      <c r="B104" t="inlineStr">
        <is>
          <t>Lore</t>
        </is>
      </c>
      <c r="C104" t="inlineStr">
        <is>
          <t>Int</t>
        </is>
      </c>
      <c r="D104" t="inlineStr">
        <is>
          <t>Advanced</t>
        </is>
      </c>
      <c r="E104" t="inlineStr">
        <is>
          <t>Yes</t>
        </is>
      </c>
      <c r="F104" t="inlineStr">
        <is>
          <t>Knowledge of a subject you have been taught or have first-hand knowledge of. Basic facts related to a specific Lore Skill can be recalled easily, with a Test required only to recall obscure or unusual information.</t>
        </is>
      </c>
      <c r="G104" t="n">
        <v>112</v>
      </c>
    </row>
    <row r="105">
      <c r="A105" t="inlineStr">
        <is>
          <t>Lore (Spirits)</t>
        </is>
      </c>
      <c r="B105" t="inlineStr">
        <is>
          <t>Lore</t>
        </is>
      </c>
      <c r="C105" t="inlineStr">
        <is>
          <t>Int</t>
        </is>
      </c>
      <c r="D105" t="inlineStr">
        <is>
          <t>Advanced</t>
        </is>
      </c>
      <c r="E105" t="inlineStr">
        <is>
          <t>Yes</t>
        </is>
      </c>
      <c r="F105" t="inlineStr">
        <is>
          <t>Knowledge of a subject you have been taught or have first-hand knowledge of. Basic facts related to a specific Lore Skill can be recalled easily, with a Test required only to recall obscure or unusual information.</t>
        </is>
      </c>
      <c r="G105" t="n">
        <v>112</v>
      </c>
    </row>
    <row r="106">
      <c r="A106" t="inlineStr">
        <is>
          <t>Lore (Taxes)</t>
        </is>
      </c>
      <c r="B106" t="inlineStr">
        <is>
          <t>Lore</t>
        </is>
      </c>
      <c r="C106" t="inlineStr">
        <is>
          <t>Int</t>
        </is>
      </c>
      <c r="D106" t="inlineStr">
        <is>
          <t>Advanced</t>
        </is>
      </c>
      <c r="E106" t="inlineStr">
        <is>
          <t>Yes</t>
        </is>
      </c>
      <c r="F106" t="inlineStr">
        <is>
          <t>Knowledge of a subject you have been taught or have first-hand knowledge of. Basic facts related to a specific Lore Skill can be recalled easily, with a Test required only to recall obscure or unusual information.</t>
        </is>
      </c>
      <c r="G106" t="n">
        <v>112</v>
      </c>
    </row>
    <row r="107">
      <c r="A107" t="inlineStr">
        <is>
          <t>Lore (The Empire)</t>
        </is>
      </c>
      <c r="B107" t="inlineStr">
        <is>
          <t>Lore</t>
        </is>
      </c>
      <c r="C107" t="inlineStr">
        <is>
          <t>Int</t>
        </is>
      </c>
      <c r="D107" t="inlineStr">
        <is>
          <t>Advanced</t>
        </is>
      </c>
      <c r="E107" t="inlineStr">
        <is>
          <t>Yes</t>
        </is>
      </c>
      <c r="F107" t="inlineStr">
        <is>
          <t>Knowledge of a subject you have been taught or have first-hand knowledge of. Basic facts related to a specific Lore Skill can be recalled easily, with a Test required only to recall obscure or unusual information.</t>
        </is>
      </c>
      <c r="G107" t="n">
        <v>112</v>
      </c>
    </row>
    <row r="108">
      <c r="A108" t="inlineStr">
        <is>
          <t>Lore (Theology)</t>
        </is>
      </c>
      <c r="B108" t="inlineStr">
        <is>
          <t>Lore</t>
        </is>
      </c>
      <c r="C108" t="inlineStr">
        <is>
          <t>Int</t>
        </is>
      </c>
      <c r="D108" t="inlineStr">
        <is>
          <t>Advanced</t>
        </is>
      </c>
      <c r="E108" t="inlineStr">
        <is>
          <t>Yes</t>
        </is>
      </c>
      <c r="F108" t="inlineStr">
        <is>
          <t>Knowledge of a subject you have been taught or have first-hand knowledge of. Basic facts related to a specific Lore Skill can be recalled easily, with a Test required only to recall obscure or unusual information.</t>
        </is>
      </c>
      <c r="G108" t="n">
        <v>112</v>
      </c>
    </row>
    <row r="109">
      <c r="A109" t="inlineStr">
        <is>
          <t>Lore (Trolls)</t>
        </is>
      </c>
      <c r="B109" t="inlineStr">
        <is>
          <t>Lore</t>
        </is>
      </c>
      <c r="C109" t="inlineStr">
        <is>
          <t>Int</t>
        </is>
      </c>
      <c r="D109" t="inlineStr">
        <is>
          <t>Advanced</t>
        </is>
      </c>
      <c r="E109" t="inlineStr">
        <is>
          <t>Yes</t>
        </is>
      </c>
      <c r="F109" t="inlineStr">
        <is>
          <t>Knowledge of a subject you have been taught or have first-hand knowledge of. Basic facts related to a specific Lore Skill can be recalled easily, with a Test required only to recall obscure or unusual information.</t>
        </is>
      </c>
      <c r="G109" t="n">
        <v>112</v>
      </c>
    </row>
    <row r="110">
      <c r="A110" t="inlineStr">
        <is>
          <t>Lore (Warfare)</t>
        </is>
      </c>
      <c r="B110" t="inlineStr">
        <is>
          <t>Lore</t>
        </is>
      </c>
      <c r="C110" t="inlineStr">
        <is>
          <t>Int</t>
        </is>
      </c>
      <c r="D110" t="inlineStr">
        <is>
          <t>Advanced</t>
        </is>
      </c>
      <c r="E110" t="inlineStr">
        <is>
          <t>Yes</t>
        </is>
      </c>
      <c r="F110" t="inlineStr">
        <is>
          <t>Knowledge of a subject you have been taught or have first-hand knowledge of. Basic facts related to a specific Lore Skill can be recalled easily, with a Test required only to recall obscure or unusual information.</t>
        </is>
      </c>
      <c r="G110" t="n">
        <v>112</v>
      </c>
    </row>
    <row r="111">
      <c r="A111" t="inlineStr">
        <is>
          <t>Lore (Witches)</t>
        </is>
      </c>
      <c r="B111" t="inlineStr">
        <is>
          <t>Lore</t>
        </is>
      </c>
      <c r="C111" t="inlineStr">
        <is>
          <t>Int</t>
        </is>
      </c>
      <c r="D111" t="inlineStr">
        <is>
          <t>Advanced</t>
        </is>
      </c>
      <c r="E111" t="inlineStr">
        <is>
          <t>Yes</t>
        </is>
      </c>
      <c r="F111" t="inlineStr">
        <is>
          <t>Knowledge of a subject you have been taught or have first-hand knowledge of. Basic facts related to a specific Lore Skill can be recalled easily, with a Test required only to recall obscure or unusual information.</t>
        </is>
      </c>
      <c r="G111" t="n">
        <v>112</v>
      </c>
    </row>
    <row r="112">
      <c r="A112" t="inlineStr">
        <is>
          <t>Lore (Wrecks)</t>
        </is>
      </c>
      <c r="B112" t="inlineStr">
        <is>
          <t>Lore</t>
        </is>
      </c>
      <c r="C112" t="inlineStr">
        <is>
          <t>Int</t>
        </is>
      </c>
      <c r="D112" t="inlineStr">
        <is>
          <t>Advanced</t>
        </is>
      </c>
      <c r="E112" t="inlineStr">
        <is>
          <t>Yes</t>
        </is>
      </c>
      <c r="F112" t="inlineStr">
        <is>
          <t>Knowledge of a subject you have been taught or have first-hand knowledge of. Basic facts related to a specific Lore Skill can be recalled easily, with a Test required only to recall obscure or unusual information.</t>
        </is>
      </c>
      <c r="G112" t="n">
        <v>112</v>
      </c>
    </row>
    <row r="113">
      <c r="A113" t="inlineStr">
        <is>
          <t>Melee</t>
        </is>
      </c>
      <c r="B113" t="inlineStr">
        <is>
          <t>Melee</t>
        </is>
      </c>
      <c r="C113" t="inlineStr">
        <is>
          <t>WS</t>
        </is>
      </c>
      <c r="D113" t="inlineStr">
        <is>
          <t>Basic</t>
        </is>
      </c>
      <c r="E113" t="inlineStr">
        <is>
          <t>Yes</t>
        </is>
      </c>
      <c r="F113" t="inlineStr">
        <is>
          <t>Training and experience with a single type of close combat weaponry. Each Melee Specialisation indicates expertise in using a specific class of weapon. If you do not have the correct Specialisation for a weapon, you will usually suffer a penalty when using it — see Chapter 11: Consumer Guide for more.</t>
        </is>
      </c>
      <c r="G113" t="n">
        <v>112</v>
      </c>
    </row>
    <row r="114">
      <c r="A114" t="inlineStr">
        <is>
          <t>Melee (Basic)</t>
        </is>
      </c>
      <c r="B114" t="inlineStr">
        <is>
          <t>Melee</t>
        </is>
      </c>
      <c r="C114" t="inlineStr">
        <is>
          <t>WS</t>
        </is>
      </c>
      <c r="D114" t="inlineStr">
        <is>
          <t>Basic</t>
        </is>
      </c>
      <c r="E114" t="inlineStr">
        <is>
          <t>Yes</t>
        </is>
      </c>
      <c r="F114" t="inlineStr">
        <is>
          <t>Training and experience with a single type of close combat weaponry. Each Melee Specialisation indicates expertise in using a specific class of weapon. If you do not have the correct Specialisation for a weapon, you will usually suffer a penalty when using it — see Chapter 11: Consumer Guide for more.</t>
        </is>
      </c>
      <c r="G114" t="n">
        <v>112</v>
      </c>
    </row>
    <row r="115">
      <c r="A115" t="inlineStr">
        <is>
          <t>Melee (Brawling)</t>
        </is>
      </c>
      <c r="B115" t="inlineStr">
        <is>
          <t>Melee</t>
        </is>
      </c>
      <c r="C115" t="inlineStr">
        <is>
          <t>WS</t>
        </is>
      </c>
      <c r="D115" t="inlineStr">
        <is>
          <t>Basic</t>
        </is>
      </c>
      <c r="E115" t="inlineStr">
        <is>
          <t>Yes</t>
        </is>
      </c>
      <c r="F115" t="inlineStr">
        <is>
          <t>Training and experience with a single type of close combat weaponry. Each Melee Specialisation indicates expertise in using a specific class of weapon. If you do not have the correct Specialisation for a weapon, you will usually suffer a penalty when using it — see Chapter 11: Consumer Guide for more.</t>
        </is>
      </c>
      <c r="G115" t="n">
        <v>112</v>
      </c>
    </row>
    <row r="116">
      <c r="A116" t="inlineStr">
        <is>
          <t>Melee (Cavalry)</t>
        </is>
      </c>
      <c r="B116" t="inlineStr">
        <is>
          <t>Melee</t>
        </is>
      </c>
      <c r="C116" t="inlineStr">
        <is>
          <t>WS</t>
        </is>
      </c>
      <c r="D116" t="inlineStr">
        <is>
          <t>Basic</t>
        </is>
      </c>
      <c r="E116" t="inlineStr">
        <is>
          <t>Yes</t>
        </is>
      </c>
      <c r="F116" t="inlineStr">
        <is>
          <t>Training and experience with a single type of close combat weaponry. Each Melee Specialisation indicates expertise in using a specific class of weapon. If you do not have the correct Specialisation for a weapon, you will usually suffer a penalty when using it — see Chapter 11: Consumer Guide for more.</t>
        </is>
      </c>
      <c r="G116" t="n">
        <v>112</v>
      </c>
    </row>
    <row r="117">
      <c r="A117" t="inlineStr">
        <is>
          <t>Melee (Fencing)</t>
        </is>
      </c>
      <c r="B117" t="inlineStr">
        <is>
          <t>Melee</t>
        </is>
      </c>
      <c r="C117" t="inlineStr">
        <is>
          <t>WS</t>
        </is>
      </c>
      <c r="D117" t="inlineStr">
        <is>
          <t>Basic</t>
        </is>
      </c>
      <c r="E117" t="inlineStr">
        <is>
          <t>Yes</t>
        </is>
      </c>
      <c r="F117" t="inlineStr">
        <is>
          <t>Training and experience with a single type of close combat weaponry. Each Melee Specialisation indicates expertise in using a specific class of weapon. If you do not have the correct Specialisation for a weapon, you will usually suffer a penalty when using it — see Chapter 11: Consumer Guide for more.</t>
        </is>
      </c>
      <c r="G117" t="n">
        <v>112</v>
      </c>
    </row>
    <row r="118">
      <c r="A118" t="inlineStr">
        <is>
          <t>Melee (Flail)</t>
        </is>
      </c>
      <c r="B118" t="inlineStr">
        <is>
          <t>Melee</t>
        </is>
      </c>
      <c r="C118" t="inlineStr">
        <is>
          <t>WS</t>
        </is>
      </c>
      <c r="D118" t="inlineStr">
        <is>
          <t>Basic</t>
        </is>
      </c>
      <c r="E118" t="inlineStr">
        <is>
          <t>Yes</t>
        </is>
      </c>
      <c r="F118" t="inlineStr">
        <is>
          <t>Training and experience with a single type of close combat weaponry. Each Melee Specialisation indicates expertise in using a specific class of weapon. If you do not have the correct Specialisation for a weapon, you will usually suffer a penalty when using it — see Chapter 11: Consumer Guide for more.</t>
        </is>
      </c>
      <c r="G118" t="n">
        <v>112</v>
      </c>
    </row>
    <row r="119">
      <c r="A119" t="inlineStr">
        <is>
          <t>Melee (Parry)</t>
        </is>
      </c>
      <c r="B119" t="inlineStr">
        <is>
          <t>Melee</t>
        </is>
      </c>
      <c r="C119" t="inlineStr">
        <is>
          <t>WS</t>
        </is>
      </c>
      <c r="D119" t="inlineStr">
        <is>
          <t>Basic</t>
        </is>
      </c>
      <c r="E119" t="inlineStr">
        <is>
          <t>Yes</t>
        </is>
      </c>
      <c r="F119" t="inlineStr">
        <is>
          <t>Training and experience with a single type of close combat weaponry. Each Melee Specialisation indicates expertise in using a specific class of weapon. If you do not have the correct Specialisation for a weapon, you will usually suffer a penalty when using it — see Chapter 11: Consumer Guide for more.</t>
        </is>
      </c>
      <c r="G119" t="n">
        <v>112</v>
      </c>
    </row>
    <row r="120">
      <c r="A120" t="inlineStr">
        <is>
          <t>Melee (Polearm)</t>
        </is>
      </c>
      <c r="B120" t="inlineStr">
        <is>
          <t>Melee</t>
        </is>
      </c>
      <c r="C120" t="inlineStr">
        <is>
          <t>WS</t>
        </is>
      </c>
      <c r="D120" t="inlineStr">
        <is>
          <t>Basic</t>
        </is>
      </c>
      <c r="E120" t="inlineStr">
        <is>
          <t>Yes</t>
        </is>
      </c>
      <c r="F120" t="inlineStr">
        <is>
          <t>Training and experience with a single type of close combat weaponry. Each Melee Specialisation indicates expertise in using a specific class of weapon. If you do not have the correct Specialisation for a weapon, you will usually suffer a penalty when using it — see Chapter 11: Consumer Guide for more.</t>
        </is>
      </c>
      <c r="G120" t="n">
        <v>112</v>
      </c>
    </row>
    <row r="121">
      <c r="A121" t="inlineStr">
        <is>
          <t>Melee (Two-handed)</t>
        </is>
      </c>
      <c r="B121" t="inlineStr">
        <is>
          <t>Melee</t>
        </is>
      </c>
      <c r="C121" t="inlineStr">
        <is>
          <t>WS</t>
        </is>
      </c>
      <c r="D121" t="inlineStr">
        <is>
          <t>Basic</t>
        </is>
      </c>
      <c r="E121" t="inlineStr">
        <is>
          <t>Yes</t>
        </is>
      </c>
      <c r="F121" t="inlineStr">
        <is>
          <t>Training and experience with a single type of close combat weaponry. Each Melee Specialisation indicates expertise in using a specific class of weapon. If you do not have the correct Specialisation for a weapon, you will usually suffer a penalty when using it — see Chapter 11: Consumer Guide for more.</t>
        </is>
      </c>
      <c r="G121" t="n">
        <v>112</v>
      </c>
    </row>
    <row r="122">
      <c r="A122" t="inlineStr">
        <is>
          <t>Navigation</t>
        </is>
      </c>
      <c r="B122" t="inlineStr">
        <is>
          <t>Navigation</t>
        </is>
      </c>
      <c r="C122" t="inlineStr">
        <is>
          <t>I</t>
        </is>
      </c>
      <c r="D122" t="inlineStr">
        <is>
          <t>Basic</t>
        </is>
      </c>
      <c r="E122" t="inlineStr">
        <is>
          <t>No</t>
        </is>
      </c>
      <c r="F122" t="inlineStr">
        <is>
          <t>Allows you to find your way in the wilderness, or across the ocean, using landmarks, stellar bodies, charts, or maps.</t>
        </is>
      </c>
      <c r="G122" t="n">
        <v>112</v>
      </c>
    </row>
    <row r="123">
      <c r="A123" t="inlineStr">
        <is>
          <t>Outdoor Survival</t>
        </is>
      </c>
      <c r="B123" t="inlineStr">
        <is>
          <t>Outdoor Survival</t>
        </is>
      </c>
      <c r="C123" t="inlineStr">
        <is>
          <t>Int</t>
        </is>
      </c>
      <c r="D123" t="inlineStr">
        <is>
          <t>Basic</t>
        </is>
      </c>
      <c r="E123" t="inlineStr">
        <is>
          <t>No</t>
        </is>
      </c>
      <c r="F123" t="inlineStr">
        <is>
          <t>Used to survive in the wild, including the ability to fish, hunt, forage, and build fires and shelters. Experienced survivors are practiced at reading the signs of incoming inclement weather, making do with minimal tools, and noticing the spoor of local beasts.</t>
        </is>
      </c>
      <c r="G123" t="n">
        <v>112</v>
      </c>
    </row>
    <row r="124">
      <c r="A124" t="inlineStr">
        <is>
          <t>Perception</t>
        </is>
      </c>
      <c r="B124" t="inlineStr">
        <is>
          <t>Perception</t>
        </is>
      </c>
      <c r="C124" t="inlineStr">
        <is>
          <t>I</t>
        </is>
      </c>
      <c r="D124" t="inlineStr">
        <is>
          <t>Basic</t>
        </is>
      </c>
      <c r="E124" t="inlineStr">
        <is>
          <t>No</t>
        </is>
      </c>
      <c r="F124" t="inlineStr">
        <is>
          <t>Your ability to notice things with your senses — sight, smell, hearing, touch, taste, and any other senses you may possess, such as magical or inhuman senses.</t>
        </is>
      </c>
      <c r="G124" t="n">
        <v>113</v>
      </c>
    </row>
    <row r="125">
      <c r="A125" t="inlineStr">
        <is>
          <t>Perform (Acrobatics)</t>
        </is>
      </c>
      <c r="B125" t="inlineStr">
        <is>
          <t>Perform</t>
        </is>
      </c>
      <c r="C125" t="inlineStr">
        <is>
          <t>Ag</t>
        </is>
      </c>
      <c r="D125" t="inlineStr">
        <is>
          <t>Advanced</t>
        </is>
      </c>
      <c r="E125" t="inlineStr">
        <is>
          <t>Yes</t>
        </is>
      </c>
      <c r="F125" t="inlineStr">
        <is>
          <t>You have learned a physically demanding art, perhaps as a way to make a living. A successful Perform Test lets you entertain those near enough to see you.</t>
        </is>
      </c>
      <c r="G125" t="n">
        <v>113</v>
      </c>
    </row>
    <row r="126">
      <c r="A126" t="inlineStr">
        <is>
          <t>Perform (Clowning)</t>
        </is>
      </c>
      <c r="B126" t="inlineStr">
        <is>
          <t>Perform</t>
        </is>
      </c>
      <c r="C126" t="inlineStr">
        <is>
          <t>Ag</t>
        </is>
      </c>
      <c r="D126" t="inlineStr">
        <is>
          <t>Advanced</t>
        </is>
      </c>
      <c r="E126" t="inlineStr">
        <is>
          <t>Yes</t>
        </is>
      </c>
      <c r="F126" t="inlineStr">
        <is>
          <t>You have learned a physically demanding art, perhaps as a way to make a living. A successful Perform Test lets you entertain those near enough to see you.</t>
        </is>
      </c>
      <c r="G126" t="n">
        <v>113</v>
      </c>
    </row>
    <row r="127">
      <c r="A127" t="inlineStr">
        <is>
          <t>Perform (Dancing)</t>
        </is>
      </c>
      <c r="B127" t="inlineStr">
        <is>
          <t>Perform</t>
        </is>
      </c>
      <c r="C127" t="inlineStr">
        <is>
          <t>Ag</t>
        </is>
      </c>
      <c r="D127" t="inlineStr">
        <is>
          <t>Advanced</t>
        </is>
      </c>
      <c r="E127" t="inlineStr">
        <is>
          <t>Yes</t>
        </is>
      </c>
      <c r="F127" t="inlineStr">
        <is>
          <t>You have learned a physically demanding art, perhaps as a way to make a living. A successful Perform Test lets you entertain those near enough to see you.</t>
        </is>
      </c>
      <c r="G127" t="n">
        <v>113</v>
      </c>
    </row>
    <row r="128">
      <c r="A128" t="inlineStr">
        <is>
          <t>Perform (Fight)</t>
        </is>
      </c>
      <c r="B128" t="inlineStr">
        <is>
          <t>Perform</t>
        </is>
      </c>
      <c r="C128" t="inlineStr">
        <is>
          <t>Ag</t>
        </is>
      </c>
      <c r="D128" t="inlineStr">
        <is>
          <t>Advanced</t>
        </is>
      </c>
      <c r="E128" t="inlineStr">
        <is>
          <t>Yes</t>
        </is>
      </c>
      <c r="F128" t="inlineStr">
        <is>
          <t>You have learned a physically demanding art, perhaps as a way to make a living. A successful Perform Test lets you entertain those near enough to see you.</t>
        </is>
      </c>
      <c r="G128" t="n">
        <v>113</v>
      </c>
    </row>
    <row r="129">
      <c r="A129" t="inlineStr">
        <is>
          <t>Perform (Firebreathing)</t>
        </is>
      </c>
      <c r="B129" t="inlineStr">
        <is>
          <t>Perform</t>
        </is>
      </c>
      <c r="C129" t="inlineStr">
        <is>
          <t>Ag</t>
        </is>
      </c>
      <c r="D129" t="inlineStr">
        <is>
          <t>Advanced</t>
        </is>
      </c>
      <c r="E129" t="inlineStr">
        <is>
          <t>Yes</t>
        </is>
      </c>
      <c r="F129" t="inlineStr">
        <is>
          <t>You have learned a physically demanding art, perhaps as a way to make a living. A successful Perform Test lets you entertain those near enough to see you.</t>
        </is>
      </c>
      <c r="G129" t="n">
        <v>113</v>
      </c>
    </row>
    <row r="130">
      <c r="A130" t="inlineStr">
        <is>
          <t>Perform (Juggling)</t>
        </is>
      </c>
      <c r="B130" t="inlineStr">
        <is>
          <t>Perform</t>
        </is>
      </c>
      <c r="C130" t="inlineStr">
        <is>
          <t>Ag</t>
        </is>
      </c>
      <c r="D130" t="inlineStr">
        <is>
          <t>Advanced</t>
        </is>
      </c>
      <c r="E130" t="inlineStr">
        <is>
          <t>Yes</t>
        </is>
      </c>
      <c r="F130" t="inlineStr">
        <is>
          <t>You have learned a physically demanding art, perhaps as a way to make a living. A successful Perform Test lets you entertain those near enough to see you.</t>
        </is>
      </c>
      <c r="G130" t="n">
        <v>113</v>
      </c>
    </row>
    <row r="131">
      <c r="A131" t="inlineStr">
        <is>
          <t>Perform (Miming)</t>
        </is>
      </c>
      <c r="B131" t="inlineStr">
        <is>
          <t>Perform</t>
        </is>
      </c>
      <c r="C131" t="inlineStr">
        <is>
          <t>Ag</t>
        </is>
      </c>
      <c r="D131" t="inlineStr">
        <is>
          <t>Advanced</t>
        </is>
      </c>
      <c r="E131" t="inlineStr">
        <is>
          <t>Yes</t>
        </is>
      </c>
      <c r="F131" t="inlineStr">
        <is>
          <t>You have learned a physically demanding art, perhaps as a way to make a living. A successful Perform Test lets you entertain those near enough to see you.</t>
        </is>
      </c>
      <c r="G131" t="n">
        <v>113</v>
      </c>
    </row>
    <row r="132">
      <c r="A132" t="inlineStr">
        <is>
          <t>Perform (Rope Walking)</t>
        </is>
      </c>
      <c r="B132" t="inlineStr">
        <is>
          <t>Perform</t>
        </is>
      </c>
      <c r="C132" t="inlineStr">
        <is>
          <t>Ag</t>
        </is>
      </c>
      <c r="D132" t="inlineStr">
        <is>
          <t>Advanced</t>
        </is>
      </c>
      <c r="E132" t="inlineStr">
        <is>
          <t>Yes</t>
        </is>
      </c>
      <c r="F132" t="inlineStr">
        <is>
          <t>You have learned a physically demanding art, perhaps as a way to make a living. A successful Perform Test lets you entertain those near enough to see you.</t>
        </is>
      </c>
      <c r="G132" t="n">
        <v>113</v>
      </c>
    </row>
    <row r="133">
      <c r="A133" t="inlineStr">
        <is>
          <t>Pick Lock</t>
        </is>
      </c>
      <c r="B133" t="inlineStr">
        <is>
          <t>Pick Lock</t>
        </is>
      </c>
      <c r="C133" t="inlineStr">
        <is>
          <t>Dex</t>
        </is>
      </c>
      <c r="D133" t="inlineStr">
        <is>
          <t>Advanced</t>
        </is>
      </c>
      <c r="E133" t="inlineStr">
        <is>
          <t>No</t>
        </is>
      </c>
      <c r="F133" t="inlineStr">
        <is>
          <t>You know the mechanisms of locks and how to open them without their proper keys. Many locks are simple affairs made to vex only untutored thieves, while others can be complex dwarf-made mechanisms capable of frustrating all but the most determined plunderer.</t>
        </is>
      </c>
      <c r="G133" t="n">
        <v>113</v>
      </c>
    </row>
    <row r="134">
      <c r="A134" t="inlineStr">
        <is>
          <t>Play (Bagpipe)</t>
        </is>
      </c>
      <c r="B134" t="inlineStr">
        <is>
          <t>Play</t>
        </is>
      </c>
      <c r="C134" t="inlineStr">
        <is>
          <t>Dex</t>
        </is>
      </c>
      <c r="D134" t="inlineStr">
        <is>
          <t>Advanced</t>
        </is>
      </c>
      <c r="E134" t="inlineStr">
        <is>
          <t>Yes</t>
        </is>
      </c>
      <c r="F134" t="inlineStr">
        <is>
          <t>A successful Play Test lets you entertain those near enough to hear you. You choose your initial Talents as part of creating your Character.</t>
        </is>
      </c>
      <c r="G134" t="n">
        <v>113</v>
      </c>
    </row>
    <row r="135">
      <c r="A135" t="inlineStr">
        <is>
          <t>Play (Drum)</t>
        </is>
      </c>
      <c r="B135" t="inlineStr">
        <is>
          <t>Play</t>
        </is>
      </c>
      <c r="C135" t="inlineStr">
        <is>
          <t>Dex</t>
        </is>
      </c>
      <c r="D135" t="inlineStr">
        <is>
          <t>Advanced</t>
        </is>
      </c>
      <c r="E135" t="inlineStr">
        <is>
          <t>Yes</t>
        </is>
      </c>
      <c r="F135" t="inlineStr">
        <is>
          <t>A successful Play Test lets you entertain those near enough to hear you. You choose your initial Talents as part of creating your Character.</t>
        </is>
      </c>
      <c r="G135" t="n">
        <v>113</v>
      </c>
    </row>
    <row r="136">
      <c r="A136" t="inlineStr">
        <is>
          <t>Play (Flute)</t>
        </is>
      </c>
      <c r="B136" t="inlineStr">
        <is>
          <t>Play</t>
        </is>
      </c>
      <c r="C136" t="inlineStr">
        <is>
          <t>Dex</t>
        </is>
      </c>
      <c r="D136" t="inlineStr">
        <is>
          <t>Advanced</t>
        </is>
      </c>
      <c r="E136" t="inlineStr">
        <is>
          <t>Yes</t>
        </is>
      </c>
      <c r="F136" t="inlineStr">
        <is>
          <t>A successful Play Test lets you entertain those near enough to hear you. You choose your initial Talents as part of creating your Character.</t>
        </is>
      </c>
      <c r="G136" t="n">
        <v>113</v>
      </c>
    </row>
    <row r="137">
      <c r="A137" t="inlineStr">
        <is>
          <t>Play (Harpsichord)</t>
        </is>
      </c>
      <c r="B137" t="inlineStr">
        <is>
          <t>Play</t>
        </is>
      </c>
      <c r="C137" t="inlineStr">
        <is>
          <t>Dex</t>
        </is>
      </c>
      <c r="D137" t="inlineStr">
        <is>
          <t>Advanced</t>
        </is>
      </c>
      <c r="E137" t="inlineStr">
        <is>
          <t>Yes</t>
        </is>
      </c>
      <c r="F137" t="inlineStr">
        <is>
          <t>A successful Play Test lets you entertain those near enough to hear you. You choose your initial Talents as part of creating your Character.</t>
        </is>
      </c>
      <c r="G137" t="n">
        <v>113</v>
      </c>
    </row>
    <row r="138">
      <c r="A138" t="inlineStr">
        <is>
          <t>Play (Horn)</t>
        </is>
      </c>
      <c r="B138" t="inlineStr">
        <is>
          <t>Play</t>
        </is>
      </c>
      <c r="C138" t="inlineStr">
        <is>
          <t>Dex</t>
        </is>
      </c>
      <c r="D138" t="inlineStr">
        <is>
          <t>Advanced</t>
        </is>
      </c>
      <c r="E138" t="inlineStr">
        <is>
          <t>Yes</t>
        </is>
      </c>
      <c r="F138" t="inlineStr">
        <is>
          <t>A successful Play Test lets you entertain those near enough to hear you. You choose your initial Talents as part of creating your Character.</t>
        </is>
      </c>
      <c r="G138" t="n">
        <v>113</v>
      </c>
    </row>
    <row r="139">
      <c r="A139" t="inlineStr">
        <is>
          <t>Play (Lute)</t>
        </is>
      </c>
      <c r="B139" t="inlineStr">
        <is>
          <t>Play</t>
        </is>
      </c>
      <c r="C139" t="inlineStr">
        <is>
          <t>Dex</t>
        </is>
      </c>
      <c r="D139" t="inlineStr">
        <is>
          <t>Advanced</t>
        </is>
      </c>
      <c r="E139" t="inlineStr">
        <is>
          <t>Yes</t>
        </is>
      </c>
      <c r="F139" t="inlineStr">
        <is>
          <t>A successful Play Test lets you entertain those near enough to hear you. You choose your initial Talents as part of creating your Character.</t>
        </is>
      </c>
      <c r="G139" t="n">
        <v>113</v>
      </c>
    </row>
    <row r="140">
      <c r="A140" t="inlineStr">
        <is>
          <t>Play (Pennywhistle)</t>
        </is>
      </c>
      <c r="B140" t="inlineStr">
        <is>
          <t>Play</t>
        </is>
      </c>
      <c r="C140" t="inlineStr">
        <is>
          <t>Dex</t>
        </is>
      </c>
      <c r="D140" t="inlineStr">
        <is>
          <t>Advanced</t>
        </is>
      </c>
      <c r="E140" t="inlineStr">
        <is>
          <t>Yes</t>
        </is>
      </c>
      <c r="F140" t="inlineStr">
        <is>
          <t>A successful Play Test lets you entertain those near enough to hear you. You choose your initial Talents as part of creating your Character.</t>
        </is>
      </c>
      <c r="G140" t="n">
        <v>113</v>
      </c>
    </row>
    <row r="141">
      <c r="A141" t="inlineStr">
        <is>
          <t>Play (Trumpet)</t>
        </is>
      </c>
      <c r="B141" t="inlineStr">
        <is>
          <t>Play</t>
        </is>
      </c>
      <c r="C141" t="inlineStr">
        <is>
          <t>Dex</t>
        </is>
      </c>
      <c r="D141" t="inlineStr">
        <is>
          <t>Advanced</t>
        </is>
      </c>
      <c r="E141" t="inlineStr">
        <is>
          <t>Yes</t>
        </is>
      </c>
      <c r="F141" t="inlineStr">
        <is>
          <t>A successful Play Test lets you entertain those near enough to hear you. You choose your initial Talents as part of creating your Character.</t>
        </is>
      </c>
      <c r="G141" t="n">
        <v>113</v>
      </c>
    </row>
    <row r="142">
      <c r="A142" t="inlineStr">
        <is>
          <t>Play (Violin)</t>
        </is>
      </c>
      <c r="B142" t="inlineStr">
        <is>
          <t>Play</t>
        </is>
      </c>
      <c r="C142" t="inlineStr">
        <is>
          <t>Dex</t>
        </is>
      </c>
      <c r="D142" t="inlineStr">
        <is>
          <t>Advanced</t>
        </is>
      </c>
      <c r="E142" t="inlineStr">
        <is>
          <t>Yes</t>
        </is>
      </c>
      <c r="F142" t="inlineStr">
        <is>
          <t>A successful Play Test lets you entertain those near enough to hear you. You choose your initial Talents as part of creating your Character.</t>
        </is>
      </c>
      <c r="G142" t="n">
        <v>113</v>
      </c>
    </row>
    <row r="143">
      <c r="A143" t="inlineStr">
        <is>
          <t>Pray</t>
        </is>
      </c>
      <c r="B143" t="inlineStr">
        <is>
          <t>Pray</t>
        </is>
      </c>
      <c r="C143" t="inlineStr">
        <is>
          <t>Fel</t>
        </is>
      </c>
      <c r="D143" t="inlineStr">
        <is>
          <t>Advanced</t>
        </is>
      </c>
      <c r="E143" t="inlineStr">
        <is>
          <t>No</t>
        </is>
      </c>
      <c r="F143" t="inlineStr">
        <is>
          <t>Invoke, appeal to, or otherwise commune with a deity. For more information on using the Pray Skill to seek divine intervention, see Chapter 7: Religion and Belief.</t>
        </is>
      </c>
      <c r="G143" t="n">
        <v>113</v>
      </c>
    </row>
    <row r="144">
      <c r="A144" t="inlineStr">
        <is>
          <t>Ranged (Blackpowder)</t>
        </is>
      </c>
      <c r="B144" t="inlineStr">
        <is>
          <t>Ranged</t>
        </is>
      </c>
      <c r="C144" t="inlineStr">
        <is>
          <t>BS</t>
        </is>
      </c>
      <c r="D144" t="inlineStr">
        <is>
          <t>Advanced</t>
        </is>
      </c>
      <c r="E144" t="inlineStr">
        <is>
          <t>Yes</t>
        </is>
      </c>
      <c r="F144" t="inlineStr">
        <is>
          <t>Each Ranged Specialisation is specific to a group of ranged weapons. If you do not have the Ranged Specialisation for a weapon you wish to use, refer to Chapter 11: Consumer Guide for the penalties you will suffer when using the weapon.</t>
        </is>
      </c>
      <c r="G144" t="n">
        <v>113</v>
      </c>
    </row>
    <row r="145">
      <c r="A145" t="inlineStr">
        <is>
          <t>Ranged (Bow)</t>
        </is>
      </c>
      <c r="B145" t="inlineStr">
        <is>
          <t>Ranged</t>
        </is>
      </c>
      <c r="C145" t="inlineStr">
        <is>
          <t>BS</t>
        </is>
      </c>
      <c r="D145" t="inlineStr">
        <is>
          <t>Advanced</t>
        </is>
      </c>
      <c r="E145" t="inlineStr">
        <is>
          <t>Yes</t>
        </is>
      </c>
      <c r="F145" t="inlineStr">
        <is>
          <t>Each Ranged Specialisation is specific to a group of ranged weapons. If you do not have the Ranged Specialisation for a weapon you wish to use, refer to Chapter 11: Consumer Guide for the penalties you will suffer when using the weapon.</t>
        </is>
      </c>
      <c r="G145" t="n">
        <v>113</v>
      </c>
    </row>
    <row r="146">
      <c r="A146" t="inlineStr">
        <is>
          <t>Ranged (Crossbow)</t>
        </is>
      </c>
      <c r="B146" t="inlineStr">
        <is>
          <t>Ranged</t>
        </is>
      </c>
      <c r="C146" t="inlineStr">
        <is>
          <t>BS</t>
        </is>
      </c>
      <c r="D146" t="inlineStr">
        <is>
          <t>Advanced</t>
        </is>
      </c>
      <c r="E146" t="inlineStr">
        <is>
          <t>Yes</t>
        </is>
      </c>
      <c r="F146" t="inlineStr">
        <is>
          <t>Each Ranged Specialisation is specific to a group of ranged weapons. If you do not have the Ranged Specialisation for a weapon you wish to use, refer to Chapter 11: Consumer Guide for the penalties you will suffer when using the weapon.</t>
        </is>
      </c>
      <c r="G146" t="n">
        <v>113</v>
      </c>
    </row>
    <row r="147">
      <c r="A147" t="inlineStr">
        <is>
          <t>Ranged (Engineering)</t>
        </is>
      </c>
      <c r="B147" t="inlineStr">
        <is>
          <t>Ranged</t>
        </is>
      </c>
      <c r="C147" t="inlineStr">
        <is>
          <t>BS</t>
        </is>
      </c>
      <c r="D147" t="inlineStr">
        <is>
          <t>Advanced</t>
        </is>
      </c>
      <c r="E147" t="inlineStr">
        <is>
          <t>Yes</t>
        </is>
      </c>
      <c r="F147" t="inlineStr">
        <is>
          <t>Each Ranged Specialisation is specific to a group of ranged weapons. If you do not have the Ranged Specialisation for a weapon you wish to use, refer to Chapter 11: Consumer Guide for the penalties you will suffer when using the weapon.</t>
        </is>
      </c>
      <c r="G147" t="n">
        <v>113</v>
      </c>
    </row>
    <row r="148">
      <c r="A148" t="inlineStr">
        <is>
          <t>Ranged (Entangling)</t>
        </is>
      </c>
      <c r="B148" t="inlineStr">
        <is>
          <t>Ranged</t>
        </is>
      </c>
      <c r="C148" t="inlineStr">
        <is>
          <t>BS</t>
        </is>
      </c>
      <c r="D148" t="inlineStr">
        <is>
          <t>Advanced</t>
        </is>
      </c>
      <c r="E148" t="inlineStr">
        <is>
          <t>Yes</t>
        </is>
      </c>
      <c r="F148" t="inlineStr">
        <is>
          <t>Each Ranged Specialisation is specific to a group of ranged weapons. If you do not have the Ranged Specialisation for a weapon you wish to use, refer to Chapter 11: Consumer Guide for the penalties you will suffer when using the weapon.</t>
        </is>
      </c>
      <c r="G148" t="n">
        <v>113</v>
      </c>
    </row>
    <row r="149">
      <c r="A149" t="inlineStr">
        <is>
          <t>Ranged (Explosives)</t>
        </is>
      </c>
      <c r="B149" t="inlineStr">
        <is>
          <t>Ranged</t>
        </is>
      </c>
      <c r="C149" t="inlineStr">
        <is>
          <t>BS</t>
        </is>
      </c>
      <c r="D149" t="inlineStr">
        <is>
          <t>Advanced</t>
        </is>
      </c>
      <c r="E149" t="inlineStr">
        <is>
          <t>Yes</t>
        </is>
      </c>
      <c r="F149" t="inlineStr">
        <is>
          <t>Each Ranged Specialisation is specific to a group of ranged weapons. If you do not have the Ranged Specialisation for a weapon you wish to use, refer to Chapter 11: Consumer Guide for the penalties you will suffer when using the weapon.</t>
        </is>
      </c>
      <c r="G149" t="n">
        <v>113</v>
      </c>
    </row>
    <row r="150">
      <c r="A150" t="inlineStr">
        <is>
          <t>Ranged (Sling)</t>
        </is>
      </c>
      <c r="B150" t="inlineStr">
        <is>
          <t>Ranged</t>
        </is>
      </c>
      <c r="C150" t="inlineStr">
        <is>
          <t>BS</t>
        </is>
      </c>
      <c r="D150" t="inlineStr">
        <is>
          <t>Advanced</t>
        </is>
      </c>
      <c r="E150" t="inlineStr">
        <is>
          <t>Yes</t>
        </is>
      </c>
      <c r="F150" t="inlineStr">
        <is>
          <t>Each Ranged Specialisation is specific to a group of ranged weapons. If you do not have the Ranged Specialisation for a weapon you wish to use, refer to Chapter 11: Consumer Guide for the penalties you will suffer when using the weapon.</t>
        </is>
      </c>
      <c r="G150" t="n">
        <v>113</v>
      </c>
    </row>
    <row r="151">
      <c r="A151" t="inlineStr">
        <is>
          <t>Ranged (Throwing)</t>
        </is>
      </c>
      <c r="B151" t="inlineStr">
        <is>
          <t>Ranged</t>
        </is>
      </c>
      <c r="C151" t="inlineStr">
        <is>
          <t>BS</t>
        </is>
      </c>
      <c r="D151" t="inlineStr">
        <is>
          <t>Advanced</t>
        </is>
      </c>
      <c r="E151" t="inlineStr">
        <is>
          <t>Yes</t>
        </is>
      </c>
      <c r="F151" t="inlineStr">
        <is>
          <t>Each Ranged Specialisation is specific to a group of ranged weapons. If you do not have the Ranged Specialisation for a weapon you wish to use, refer to Chapter 11: Consumer Guide for the penalties you will suffer when using the weapon.</t>
        </is>
      </c>
      <c r="G151" t="n">
        <v>113</v>
      </c>
    </row>
    <row r="152">
      <c r="A152" t="inlineStr">
        <is>
          <t>Research</t>
        </is>
      </c>
      <c r="B152" t="inlineStr">
        <is>
          <t>Research</t>
        </is>
      </c>
      <c r="C152" t="inlineStr">
        <is>
          <t>Int</t>
        </is>
      </c>
      <c r="D152" t="inlineStr">
        <is>
          <t>Advanced</t>
        </is>
      </c>
      <c r="E152" t="inlineStr">
        <is>
          <t>No</t>
        </is>
      </c>
      <c r="F152" t="inlineStr">
        <is>
          <t>Finding useful and frequently obscure knowledge in libraries and other such storehouses of information. Research requires you to have the Read/Write Talent (see page 124). More on what kinds of information you can find and where to start looking can be found on page 150.</t>
        </is>
      </c>
      <c r="G152" t="n">
        <v>113</v>
      </c>
    </row>
    <row r="153">
      <c r="A153" t="inlineStr">
        <is>
          <t>Ride</t>
        </is>
      </c>
      <c r="B153" t="inlineStr">
        <is>
          <t>Ride</t>
        </is>
      </c>
      <c r="C153" t="inlineStr">
        <is>
          <t>Ag</t>
        </is>
      </c>
      <c r="D153" t="inlineStr">
        <is>
          <t>Basic</t>
        </is>
      </c>
      <c r="E153" t="inlineStr">
        <is>
          <t>Yes</t>
        </is>
      </c>
      <c r="F153" t="inlineStr">
        <is>
          <t>Proficiency at riding a particular group of animals; Ride (Horse), for example, will let you ride horses, mules, donkeys, and similar. See page 168 for rules on fighting from the back of a mount.</t>
        </is>
      </c>
      <c r="G153" t="n">
        <v>113</v>
      </c>
    </row>
    <row r="154">
      <c r="A154" t="inlineStr">
        <is>
          <t>Ride (Demigryph)</t>
        </is>
      </c>
      <c r="B154" t="inlineStr">
        <is>
          <t>Ride</t>
        </is>
      </c>
      <c r="C154" t="inlineStr">
        <is>
          <t>Ag</t>
        </is>
      </c>
      <c r="D154" t="inlineStr">
        <is>
          <t>Basic</t>
        </is>
      </c>
      <c r="E154" t="inlineStr">
        <is>
          <t>Yes</t>
        </is>
      </c>
      <c r="F154" t="inlineStr">
        <is>
          <t>Proficiency at riding a particular group of animals; Ride (Horse), for example, will let you ride horses, mules, donkeys, and similar. See page 168 for rules on fighting from the back of a mount.</t>
        </is>
      </c>
      <c r="G154" t="n">
        <v>113</v>
      </c>
    </row>
    <row r="155">
      <c r="A155" t="inlineStr">
        <is>
          <t>Ride (Griffon)</t>
        </is>
      </c>
      <c r="B155" t="inlineStr">
        <is>
          <t>Ride</t>
        </is>
      </c>
      <c r="C155" t="inlineStr">
        <is>
          <t>Ag</t>
        </is>
      </c>
      <c r="D155" t="inlineStr">
        <is>
          <t>Basic</t>
        </is>
      </c>
      <c r="E155" t="inlineStr">
        <is>
          <t>Yes</t>
        </is>
      </c>
      <c r="F155" t="inlineStr">
        <is>
          <t>Proficiency at riding a particular group of animals; Ride (Horse), for example, will let you ride horses, mules, donkeys, and similar. See page 168 for rules on fighting from the back of a mount.</t>
        </is>
      </c>
      <c r="G155" t="n">
        <v>113</v>
      </c>
    </row>
    <row r="156">
      <c r="A156" t="inlineStr">
        <is>
          <t>Ride (Horse)</t>
        </is>
      </c>
      <c r="B156" t="inlineStr">
        <is>
          <t>Ride</t>
        </is>
      </c>
      <c r="C156" t="inlineStr">
        <is>
          <t>Ag</t>
        </is>
      </c>
      <c r="D156" t="inlineStr">
        <is>
          <t>Basic</t>
        </is>
      </c>
      <c r="E156" t="inlineStr">
        <is>
          <t>Yes</t>
        </is>
      </c>
      <c r="F156" t="inlineStr">
        <is>
          <t>Proficiency at riding a particular group of animals; Ride (Horse), for example, will let you ride horses, mules, donkeys, and similar. See page 168 for rules on fighting from the back of a mount.</t>
        </is>
      </c>
      <c r="G156" t="n">
        <v>113</v>
      </c>
    </row>
    <row r="157">
      <c r="A157" t="inlineStr">
        <is>
          <t>Ride (Pegasus)</t>
        </is>
      </c>
      <c r="B157" t="inlineStr">
        <is>
          <t>Ride</t>
        </is>
      </c>
      <c r="C157" t="inlineStr">
        <is>
          <t>Ag</t>
        </is>
      </c>
      <c r="D157" t="inlineStr">
        <is>
          <t>Basic</t>
        </is>
      </c>
      <c r="E157" t="inlineStr">
        <is>
          <t>Yes</t>
        </is>
      </c>
      <c r="F157" t="inlineStr">
        <is>
          <t>Proficiency at riding a particular group of animals; Ride (Horse), for example, will let you ride horses, mules, donkeys, and similar. See page 168 for rules on fighting from the back of a mount.</t>
        </is>
      </c>
      <c r="G157" t="n">
        <v>113</v>
      </c>
    </row>
    <row r="158">
      <c r="A158" t="inlineStr">
        <is>
          <t>Row</t>
        </is>
      </c>
      <c r="B158" t="inlineStr">
        <is>
          <t>Row</t>
        </is>
      </c>
      <c r="C158" t="inlineStr">
        <is>
          <t>S</t>
        </is>
      </c>
      <c r="D158" t="inlineStr">
        <is>
          <t>Basic</t>
        </is>
      </c>
      <c r="E158" t="inlineStr">
        <is>
          <t>No</t>
        </is>
      </c>
      <c r="F158" t="inlineStr">
        <is>
          <t>Your prowess at pulling an oar to move a boat through the water. A Row Test is typically only needed when racing, navigating rapids, desperately avoiding bog octopuses, or similar challenging feats.</t>
        </is>
      </c>
      <c r="G158" t="n">
        <v>113</v>
      </c>
    </row>
    <row r="159">
      <c r="A159" t="inlineStr">
        <is>
          <t>Sail</t>
        </is>
      </c>
      <c r="B159" t="inlineStr">
        <is>
          <t>Sail</t>
        </is>
      </c>
      <c r="C159" t="inlineStr">
        <is>
          <t>Ag</t>
        </is>
      </c>
      <c r="D159" t="inlineStr">
        <is>
          <t>Advanced</t>
        </is>
      </c>
      <c r="E159" t="inlineStr">
        <is>
          <t>No</t>
        </is>
      </c>
      <c r="F159" t="inlineStr">
        <is>
          <t>Operate and manoeuvre a sailing vessel — including knotwork, steering, gauging the wind, and more. Sail is required to operate your own vessel, either alone or as part of a crew. If you are commanding a well trained crew, use Leadership instead.</t>
        </is>
      </c>
      <c r="G159" t="n">
        <v>113</v>
      </c>
    </row>
    <row r="160">
      <c r="A160" t="inlineStr">
        <is>
          <t>Secret Signs (Grey Order)</t>
        </is>
      </c>
      <c r="B160" t="inlineStr">
        <is>
          <t>Secret Signs</t>
        </is>
      </c>
      <c r="C160" t="inlineStr">
        <is>
          <t>Int</t>
        </is>
      </c>
      <c r="D160" t="inlineStr">
        <is>
          <t>Advanced</t>
        </is>
      </c>
      <c r="E160" t="inlineStr">
        <is>
          <t>Yes</t>
        </is>
      </c>
      <c r="F160" t="inlineStr">
        <is>
          <t>Vagabonds might indicate which homeowners are likely to offer alms, thieves may want to indicate territorial markings or warnings, while scouts may want to warn one another about a dangerous monster's lair nearby (see page 138).</t>
        </is>
      </c>
      <c r="G160" t="n">
        <v>114</v>
      </c>
    </row>
    <row r="161">
      <c r="A161" t="inlineStr">
        <is>
          <t>Secret Signs (Guild)</t>
        </is>
      </c>
      <c r="B161" t="inlineStr">
        <is>
          <t>Secret Signs</t>
        </is>
      </c>
      <c r="C161" t="inlineStr">
        <is>
          <t>Int</t>
        </is>
      </c>
      <c r="D161" t="inlineStr">
        <is>
          <t>Advanced</t>
        </is>
      </c>
      <c r="E161" t="inlineStr">
        <is>
          <t>Yes</t>
        </is>
      </c>
      <c r="F161" t="inlineStr">
        <is>
          <t>Vagabonds might indicate which homeowners are likely to offer alms, thieves may want to indicate territorial markings or warnings, while scouts may want to warn one another about a dangerous monster's lair nearby (see page 138).</t>
        </is>
      </c>
      <c r="G161" t="n">
        <v>114</v>
      </c>
    </row>
    <row r="162">
      <c r="A162" t="inlineStr">
        <is>
          <t>Secret Signs (Guilder)</t>
        </is>
      </c>
      <c r="B162" t="inlineStr">
        <is>
          <t>Secret Signs</t>
        </is>
      </c>
      <c r="C162" t="inlineStr">
        <is>
          <t>Int</t>
        </is>
      </c>
      <c r="D162" t="inlineStr">
        <is>
          <t>Advanced</t>
        </is>
      </c>
      <c r="E162" t="inlineStr">
        <is>
          <t>Yes</t>
        </is>
      </c>
      <c r="F162" t="inlineStr">
        <is>
          <t>Vagabonds might indicate which homeowners are likely to offer alms, thieves may want to indicate territorial markings or warnings, while scouts may want to warn one another about a dangerous monster's lair nearby (see page 138).</t>
        </is>
      </c>
      <c r="G162" t="n">
        <v>114</v>
      </c>
    </row>
    <row r="163">
      <c r="A163" t="inlineStr">
        <is>
          <t>Secret Signs (Hedgefolk)</t>
        </is>
      </c>
      <c r="B163" t="inlineStr">
        <is>
          <t>Secret Signs</t>
        </is>
      </c>
      <c r="C163" t="inlineStr">
        <is>
          <t>Int</t>
        </is>
      </c>
      <c r="D163" t="inlineStr">
        <is>
          <t>Advanced</t>
        </is>
      </c>
      <c r="E163" t="inlineStr">
        <is>
          <t>Yes</t>
        </is>
      </c>
      <c r="F163" t="inlineStr">
        <is>
          <t>Vagabonds might indicate which homeowners are likely to offer alms, thieves may want to indicate territorial markings or warnings, while scouts may want to warn one another about a dangerous monster's lair nearby (see page 138).</t>
        </is>
      </c>
      <c r="G163" t="n">
        <v>114</v>
      </c>
    </row>
    <row r="164">
      <c r="A164" t="inlineStr">
        <is>
          <t>Secret Signs (Knightly Order)</t>
        </is>
      </c>
      <c r="B164" t="inlineStr">
        <is>
          <t>Secret Signs</t>
        </is>
      </c>
      <c r="C164" t="inlineStr">
        <is>
          <t>Int</t>
        </is>
      </c>
      <c r="D164" t="inlineStr">
        <is>
          <t>Advanced</t>
        </is>
      </c>
      <c r="E164" t="inlineStr">
        <is>
          <t>Yes</t>
        </is>
      </c>
      <c r="F164" t="inlineStr">
        <is>
          <t>Vagabonds might indicate which homeowners are likely to offer alms, thieves may want to indicate territorial markings or warnings, while scouts may want to warn one another about a dangerous monster's lair nearby (see page 138).</t>
        </is>
      </c>
      <c r="G164" t="n">
        <v>114</v>
      </c>
    </row>
    <row r="165">
      <c r="A165" t="inlineStr">
        <is>
          <t>Secret Signs (Miner)</t>
        </is>
      </c>
      <c r="B165" t="inlineStr">
        <is>
          <t>Secret Signs</t>
        </is>
      </c>
      <c r="C165" t="inlineStr">
        <is>
          <t>Int</t>
        </is>
      </c>
      <c r="D165" t="inlineStr">
        <is>
          <t>Advanced</t>
        </is>
      </c>
      <c r="E165" t="inlineStr">
        <is>
          <t>Yes</t>
        </is>
      </c>
      <c r="F165" t="inlineStr">
        <is>
          <t>Vagabonds might indicate which homeowners are likely to offer alms, thieves may want to indicate territorial markings or warnings, while scouts may want to warn one another about a dangerous monster's lair nearby (see page 138).</t>
        </is>
      </c>
      <c r="G165" t="n">
        <v>114</v>
      </c>
    </row>
    <row r="166">
      <c r="A166" t="inlineStr">
        <is>
          <t>Secret Signs (Ranger)</t>
        </is>
      </c>
      <c r="B166" t="inlineStr">
        <is>
          <t>Secret Signs</t>
        </is>
      </c>
      <c r="C166" t="inlineStr">
        <is>
          <t>Int</t>
        </is>
      </c>
      <c r="D166" t="inlineStr">
        <is>
          <t>Advanced</t>
        </is>
      </c>
      <c r="E166" t="inlineStr">
        <is>
          <t>Yes</t>
        </is>
      </c>
      <c r="F166" t="inlineStr">
        <is>
          <t>Vagabonds might indicate which homeowners are likely to offer alms, thieves may want to indicate territorial markings or warnings, while scouts may want to warn one another about a dangerous monster's lair nearby (see page 138).</t>
        </is>
      </c>
      <c r="G166" t="n">
        <v>114</v>
      </c>
    </row>
    <row r="167">
      <c r="A167" t="inlineStr">
        <is>
          <t>Secret Signs (Scout)</t>
        </is>
      </c>
      <c r="B167" t="inlineStr">
        <is>
          <t>Secret Signs</t>
        </is>
      </c>
      <c r="C167" t="inlineStr">
        <is>
          <t>Int</t>
        </is>
      </c>
      <c r="D167" t="inlineStr">
        <is>
          <t>Advanced</t>
        </is>
      </c>
      <c r="E167" t="inlineStr">
        <is>
          <t>Yes</t>
        </is>
      </c>
      <c r="F167" t="inlineStr">
        <is>
          <t>Vagabonds might indicate which homeowners are likely to offer alms, thieves may want to indicate territorial markings or warnings, while scouts may want to warn one another about a dangerous monster's lair nearby (see page 138).</t>
        </is>
      </c>
      <c r="G167" t="n">
        <v>114</v>
      </c>
    </row>
    <row r="168">
      <c r="A168" t="inlineStr">
        <is>
          <t>Secret Signs (Smuggler)</t>
        </is>
      </c>
      <c r="B168" t="inlineStr">
        <is>
          <t>Secret Signs</t>
        </is>
      </c>
      <c r="C168" t="inlineStr">
        <is>
          <t>Int</t>
        </is>
      </c>
      <c r="D168" t="inlineStr">
        <is>
          <t>Advanced</t>
        </is>
      </c>
      <c r="E168" t="inlineStr">
        <is>
          <t>Yes</t>
        </is>
      </c>
      <c r="F168" t="inlineStr">
        <is>
          <t>Vagabonds might indicate which homeowners are likely to offer alms, thieves may want to indicate territorial markings or warnings, while scouts may want to warn one another about a dangerous monster's lair nearby (see page 138).</t>
        </is>
      </c>
      <c r="G168" t="n">
        <v>114</v>
      </c>
    </row>
    <row r="169">
      <c r="A169" t="inlineStr">
        <is>
          <t>Secret Signs (Thief)</t>
        </is>
      </c>
      <c r="B169" t="inlineStr">
        <is>
          <t>Secret Signs</t>
        </is>
      </c>
      <c r="C169" t="inlineStr">
        <is>
          <t>Int</t>
        </is>
      </c>
      <c r="D169" t="inlineStr">
        <is>
          <t>Advanced</t>
        </is>
      </c>
      <c r="E169" t="inlineStr">
        <is>
          <t>Yes</t>
        </is>
      </c>
      <c r="F169" t="inlineStr">
        <is>
          <t>Vagabonds might indicate which homeowners are likely to offer alms, thieves may want to indicate territorial markings or warnings, while scouts may want to warn one another about a dangerous monster's lair nearby (see page 138).</t>
        </is>
      </c>
      <c r="G169" t="n">
        <v>114</v>
      </c>
    </row>
    <row r="170">
      <c r="A170" t="inlineStr">
        <is>
          <t>Secret Signs (Vagabond)</t>
        </is>
      </c>
      <c r="B170" t="inlineStr">
        <is>
          <t>Secret Signs</t>
        </is>
      </c>
      <c r="C170" t="inlineStr">
        <is>
          <t>Int</t>
        </is>
      </c>
      <c r="D170" t="inlineStr">
        <is>
          <t>Advanced</t>
        </is>
      </c>
      <c r="E170" t="inlineStr">
        <is>
          <t>Yes</t>
        </is>
      </c>
      <c r="F170" t="inlineStr">
        <is>
          <t>Vagabonds might indicate which homeowners are likely to offer alms, thieves may want to indicate territorial markings or warnings, while scouts may want to warn one another about a dangerous monster's lair nearby (see page 138).</t>
        </is>
      </c>
      <c r="G170" t="n">
        <v>114</v>
      </c>
    </row>
    <row r="171">
      <c r="A171" t="inlineStr">
        <is>
          <t>Set Trap</t>
        </is>
      </c>
      <c r="B171" t="inlineStr">
        <is>
          <t>Set Trap</t>
        </is>
      </c>
      <c r="C171" t="inlineStr">
        <is>
          <t>Dex</t>
        </is>
      </c>
      <c r="D171" t="inlineStr">
        <is>
          <t>Advanced</t>
        </is>
      </c>
      <c r="E171" t="inlineStr">
        <is>
          <t>No</t>
        </is>
      </c>
      <c r="F171" t="inlineStr">
        <is>
          <t>From a simple snare or bear trap, to more spectacular devices like Von Grizzel's Thief-render, players are unlikely to venture far in the Old World without encountering traps. The Set Trap Skill measures your ability to set and disarm traps of all varieties.</t>
        </is>
      </c>
      <c r="G171" t="n">
        <v>114</v>
      </c>
    </row>
    <row r="172">
      <c r="A172" t="inlineStr">
        <is>
          <t>Sleight of Hand</t>
        </is>
      </c>
      <c r="B172" t="inlineStr">
        <is>
          <t>Sleight of Hand</t>
        </is>
      </c>
      <c r="C172" t="inlineStr">
        <is>
          <t>Dex</t>
        </is>
      </c>
      <c r="D172" t="inlineStr">
        <is>
          <t>Advanced</t>
        </is>
      </c>
      <c r="E172" t="inlineStr">
        <is>
          <t>No</t>
        </is>
      </c>
      <c r="F172" t="inlineStr">
        <is>
          <t>Your ability to pick pockets, palm objects, and perform minor tricks of prestidigitation, as well as cheat at games of chance. This Skill is typically Opposed by the Perception Skill of your target.</t>
        </is>
      </c>
      <c r="G172" t="n">
        <v>114</v>
      </c>
    </row>
    <row r="173">
      <c r="A173" t="inlineStr">
        <is>
          <t>Stealth</t>
        </is>
      </c>
      <c r="B173" t="inlineStr">
        <is>
          <t>Stealth</t>
        </is>
      </c>
      <c r="C173" t="inlineStr">
        <is>
          <t>Ag</t>
        </is>
      </c>
      <c r="D173" t="inlineStr">
        <is>
          <t>Basic</t>
        </is>
      </c>
      <c r="E173" t="inlineStr">
        <is>
          <t>Yes</t>
        </is>
      </c>
      <c r="F173" t="inlineStr">
        <is>
          <t>Move and hide without being detected, blend into a crowd, or otherwise avoid drawing attention to yourself.</t>
        </is>
      </c>
      <c r="G173" t="n">
        <v>114</v>
      </c>
    </row>
    <row r="174">
      <c r="A174" t="inlineStr">
        <is>
          <t>Stealth (Rural Urban)</t>
        </is>
      </c>
      <c r="B174" t="inlineStr">
        <is>
          <t>Stealth</t>
        </is>
      </c>
      <c r="C174" t="inlineStr">
        <is>
          <t>Ag</t>
        </is>
      </c>
      <c r="D174" t="inlineStr">
        <is>
          <t>Basic</t>
        </is>
      </c>
      <c r="E174" t="inlineStr">
        <is>
          <t>Yes</t>
        </is>
      </c>
      <c r="F174" t="inlineStr">
        <is>
          <t>Move and hide without being detected, blend into a crowd, or otherwise avoid drawing attention to yourself.</t>
        </is>
      </c>
      <c r="G174" t="n">
        <v>114</v>
      </c>
    </row>
    <row r="175">
      <c r="A175" t="inlineStr">
        <is>
          <t>Stealth (Rural)</t>
        </is>
      </c>
      <c r="B175" t="inlineStr">
        <is>
          <t>Stealth</t>
        </is>
      </c>
      <c r="C175" t="inlineStr">
        <is>
          <t>Ag</t>
        </is>
      </c>
      <c r="D175" t="inlineStr">
        <is>
          <t>Basic</t>
        </is>
      </c>
      <c r="E175" t="inlineStr">
        <is>
          <t>Yes</t>
        </is>
      </c>
      <c r="F175" t="inlineStr">
        <is>
          <t>Move and hide without being detected, blend into a crowd, or otherwise avoid drawing attention to yourself.</t>
        </is>
      </c>
      <c r="G175" t="n">
        <v>114</v>
      </c>
    </row>
    <row r="176">
      <c r="A176" t="inlineStr">
        <is>
          <t>Stealth (Underground)</t>
        </is>
      </c>
      <c r="B176" t="inlineStr">
        <is>
          <t>Stealth</t>
        </is>
      </c>
      <c r="C176" t="inlineStr">
        <is>
          <t>Ag</t>
        </is>
      </c>
      <c r="D176" t="inlineStr">
        <is>
          <t>Basic</t>
        </is>
      </c>
      <c r="E176" t="inlineStr">
        <is>
          <t>Yes</t>
        </is>
      </c>
      <c r="F176" t="inlineStr">
        <is>
          <t>Move and hide without being detected, blend into a crowd, or otherwise avoid drawing attention to yourself.</t>
        </is>
      </c>
      <c r="G176" t="n">
        <v>114</v>
      </c>
    </row>
    <row r="177">
      <c r="A177" t="inlineStr">
        <is>
          <t>Stealth (Urban)</t>
        </is>
      </c>
      <c r="B177" t="inlineStr">
        <is>
          <t>Stealth</t>
        </is>
      </c>
      <c r="C177" t="inlineStr">
        <is>
          <t>Ag</t>
        </is>
      </c>
      <c r="D177" t="inlineStr">
        <is>
          <t>Basic</t>
        </is>
      </c>
      <c r="E177" t="inlineStr">
        <is>
          <t>Yes</t>
        </is>
      </c>
      <c r="F177" t="inlineStr">
        <is>
          <t>Move and hide without being detected, blend into a crowd, or otherwise avoid drawing attention to yourself.</t>
        </is>
      </c>
      <c r="G177" t="n">
        <v>114</v>
      </c>
    </row>
    <row r="178">
      <c r="A178" t="inlineStr">
        <is>
          <t>Swim</t>
        </is>
      </c>
      <c r="B178" t="inlineStr">
        <is>
          <t>Swim</t>
        </is>
      </c>
      <c r="C178" t="inlineStr">
        <is>
          <t>S</t>
        </is>
      </c>
      <c r="D178" t="inlineStr">
        <is>
          <t>Advanced</t>
        </is>
      </c>
      <c r="E178" t="inlineStr">
        <is>
          <t>No</t>
        </is>
      </c>
      <c r="F178" t="inlineStr">
        <is>
          <t>Moving and staying afloat in water. If you have the Swim Skill, you are automatically presumed to be able to swim freely without a Test. But if you find yourself in difficult currents, racing, or fleeing from a ravenous stirpike, a Test will be required.</t>
        </is>
      </c>
      <c r="G178" t="n">
        <v>114</v>
      </c>
    </row>
    <row r="179">
      <c r="A179" t="inlineStr">
        <is>
          <t>Track</t>
        </is>
      </c>
      <c r="B179" t="inlineStr">
        <is>
          <t>Track</t>
        </is>
      </c>
      <c r="C179" t="inlineStr">
        <is>
          <t>I</t>
        </is>
      </c>
      <c r="D179" t="inlineStr">
        <is>
          <t>Advanced</t>
        </is>
      </c>
      <c r="E179" t="inlineStr">
        <is>
          <t>No</t>
        </is>
      </c>
      <c r="F179" t="inlineStr">
        <is>
          <t>Your ability to follow subtle trails left by others. Track is used to follow and find your target, as well as to hide your trail.</t>
        </is>
      </c>
      <c r="G179" t="n">
        <v>114</v>
      </c>
    </row>
    <row r="180">
      <c r="A180" t="inlineStr">
        <is>
          <t>Trade (Apothecary)</t>
        </is>
      </c>
      <c r="B180" t="inlineStr">
        <is>
          <t>Trade</t>
        </is>
      </c>
      <c r="C180" t="inlineStr">
        <is>
          <t>Dex</t>
        </is>
      </c>
      <c r="D180" t="inlineStr">
        <is>
          <t>Advanced</t>
        </is>
      </c>
      <c r="E180" t="inlineStr">
        <is>
          <t>Yes</t>
        </is>
      </c>
      <c r="F180" t="inlineStr">
        <is>
          <t>Your ability to practice a trade, to create something or provide a service, as well as your knowledge of the relevant lore surrounding your trade.</t>
        </is>
      </c>
      <c r="G180" t="n">
        <v>114</v>
      </c>
    </row>
    <row r="181">
      <c r="A181" t="inlineStr">
        <is>
          <t>Trade (Art Supplies)</t>
        </is>
      </c>
      <c r="B181" t="inlineStr">
        <is>
          <t>Trade</t>
        </is>
      </c>
      <c r="C181" t="inlineStr">
        <is>
          <t>Dex</t>
        </is>
      </c>
      <c r="D181" t="inlineStr">
        <is>
          <t>Advanced</t>
        </is>
      </c>
      <c r="E181" t="inlineStr">
        <is>
          <t>Yes</t>
        </is>
      </c>
      <c r="F181" t="inlineStr">
        <is>
          <t>Your ability to practice a trade, to create something or provide a service, as well as your knowledge of the relevant lore surrounding your trade.</t>
        </is>
      </c>
      <c r="G181" t="n">
        <v>114</v>
      </c>
    </row>
    <row r="182">
      <c r="A182" t="inlineStr">
        <is>
          <t>Trade (Barber)</t>
        </is>
      </c>
      <c r="B182" t="inlineStr">
        <is>
          <t>Trade</t>
        </is>
      </c>
      <c r="C182" t="inlineStr">
        <is>
          <t>Dex</t>
        </is>
      </c>
      <c r="D182" t="inlineStr">
        <is>
          <t>Advanced</t>
        </is>
      </c>
      <c r="E182" t="inlineStr">
        <is>
          <t>Yes</t>
        </is>
      </c>
      <c r="F182" t="inlineStr">
        <is>
          <t>Your ability to practice a trade, to create something or provide a service, as well as your knowledge of the relevant lore surrounding your trade.</t>
        </is>
      </c>
      <c r="G182" t="n">
        <v>114</v>
      </c>
    </row>
    <row r="183">
      <c r="A183" t="inlineStr">
        <is>
          <t>Trade (Boatbuilder)</t>
        </is>
      </c>
      <c r="B183" t="inlineStr">
        <is>
          <t>Trade</t>
        </is>
      </c>
      <c r="C183" t="inlineStr">
        <is>
          <t>Dex</t>
        </is>
      </c>
      <c r="D183" t="inlineStr">
        <is>
          <t>Advanced</t>
        </is>
      </c>
      <c r="E183" t="inlineStr">
        <is>
          <t>Yes</t>
        </is>
      </c>
      <c r="F183" t="inlineStr">
        <is>
          <t>Your ability to practice a trade, to create something or provide a service, as well as your knowledge of the relevant lore surrounding your trade.</t>
        </is>
      </c>
      <c r="G183" t="n">
        <v>114</v>
      </c>
    </row>
    <row r="184">
      <c r="A184" t="inlineStr">
        <is>
          <t>Trade (Brewer)</t>
        </is>
      </c>
      <c r="B184" t="inlineStr">
        <is>
          <t>Trade</t>
        </is>
      </c>
      <c r="C184" t="inlineStr">
        <is>
          <t>Dex</t>
        </is>
      </c>
      <c r="D184" t="inlineStr">
        <is>
          <t>Advanced</t>
        </is>
      </c>
      <c r="E184" t="inlineStr">
        <is>
          <t>Yes</t>
        </is>
      </c>
      <c r="F184" t="inlineStr">
        <is>
          <t>Your ability to practice a trade, to create something or provide a service, as well as your knowledge of the relevant lore surrounding your trade.</t>
        </is>
      </c>
      <c r="G184" t="n">
        <v>114</v>
      </c>
    </row>
    <row r="185">
      <c r="A185" t="inlineStr">
        <is>
          <t>Trade (Calligrapher)</t>
        </is>
      </c>
      <c r="B185" t="inlineStr">
        <is>
          <t>Trade</t>
        </is>
      </c>
      <c r="C185" t="inlineStr">
        <is>
          <t>Dex</t>
        </is>
      </c>
      <c r="D185" t="inlineStr">
        <is>
          <t>Advanced</t>
        </is>
      </c>
      <c r="E185" t="inlineStr">
        <is>
          <t>Yes</t>
        </is>
      </c>
      <c r="F185" t="inlineStr">
        <is>
          <t>Your ability to practice a trade, to create something or provide a service, as well as your knowledge of the relevant lore surrounding your trade.</t>
        </is>
      </c>
      <c r="G185" t="n">
        <v>114</v>
      </c>
    </row>
    <row r="186">
      <c r="A186" t="inlineStr">
        <is>
          <t>Trade (Carpenter)</t>
        </is>
      </c>
      <c r="B186" t="inlineStr">
        <is>
          <t>Trade</t>
        </is>
      </c>
      <c r="C186" t="inlineStr">
        <is>
          <t>Dex</t>
        </is>
      </c>
      <c r="D186" t="inlineStr">
        <is>
          <t>Advanced</t>
        </is>
      </c>
      <c r="E186" t="inlineStr">
        <is>
          <t>Yes</t>
        </is>
      </c>
      <c r="F186" t="inlineStr">
        <is>
          <t>Your ability to practice a trade, to create something or provide a service, as well as your knowledge of the relevant lore surrounding your trade.</t>
        </is>
      </c>
      <c r="G186" t="n">
        <v>114</v>
      </c>
    </row>
    <row r="187">
      <c r="A187" t="inlineStr">
        <is>
          <t>Trade (Cartographer)</t>
        </is>
      </c>
      <c r="B187" t="inlineStr">
        <is>
          <t>Trade</t>
        </is>
      </c>
      <c r="C187" t="inlineStr">
        <is>
          <t>Dex</t>
        </is>
      </c>
      <c r="D187" t="inlineStr">
        <is>
          <t>Advanced</t>
        </is>
      </c>
      <c r="E187" t="inlineStr">
        <is>
          <t>Yes</t>
        </is>
      </c>
      <c r="F187" t="inlineStr">
        <is>
          <t>Your ability to practice a trade, to create something or provide a service, as well as your knowledge of the relevant lore surrounding your trade.</t>
        </is>
      </c>
      <c r="G187" t="n">
        <v>114</v>
      </c>
    </row>
    <row r="188">
      <c r="A188" t="inlineStr">
        <is>
          <t>Trade (Chandler)</t>
        </is>
      </c>
      <c r="B188" t="inlineStr">
        <is>
          <t>Trade</t>
        </is>
      </c>
      <c r="C188" t="inlineStr">
        <is>
          <t>Dex</t>
        </is>
      </c>
      <c r="D188" t="inlineStr">
        <is>
          <t>Advanced</t>
        </is>
      </c>
      <c r="E188" t="inlineStr">
        <is>
          <t>Yes</t>
        </is>
      </c>
      <c r="F188" t="inlineStr">
        <is>
          <t>Your ability to practice a trade, to create something or provide a service, as well as your knowledge of the relevant lore surrounding your trade.</t>
        </is>
      </c>
      <c r="G188" t="n">
        <v>114</v>
      </c>
    </row>
    <row r="189">
      <c r="A189" t="inlineStr">
        <is>
          <t>Trade (Cook)</t>
        </is>
      </c>
      <c r="B189" t="inlineStr">
        <is>
          <t>Trade</t>
        </is>
      </c>
      <c r="C189" t="inlineStr">
        <is>
          <t>Dex</t>
        </is>
      </c>
      <c r="D189" t="inlineStr">
        <is>
          <t>Advanced</t>
        </is>
      </c>
      <c r="E189" t="inlineStr">
        <is>
          <t>Yes</t>
        </is>
      </c>
      <c r="F189" t="inlineStr">
        <is>
          <t>Your ability to practice a trade, to create something or provide a service, as well as your knowledge of the relevant lore surrounding your trade.</t>
        </is>
      </c>
      <c r="G189" t="n">
        <v>114</v>
      </c>
    </row>
    <row r="190">
      <c r="A190" t="inlineStr">
        <is>
          <t>Trade (Embalmer)</t>
        </is>
      </c>
      <c r="B190" t="inlineStr">
        <is>
          <t>Trade</t>
        </is>
      </c>
      <c r="C190" t="inlineStr">
        <is>
          <t>Dex</t>
        </is>
      </c>
      <c r="D190" t="inlineStr">
        <is>
          <t>Advanced</t>
        </is>
      </c>
      <c r="E190" t="inlineStr">
        <is>
          <t>Yes</t>
        </is>
      </c>
      <c r="F190" t="inlineStr">
        <is>
          <t>Your ability to practice a trade, to create something or provide a service, as well as your knowledge of the relevant lore surrounding your trade.</t>
        </is>
      </c>
      <c r="G190" t="n">
        <v>114</v>
      </c>
    </row>
    <row r="191">
      <c r="A191" t="inlineStr">
        <is>
          <t>Trade (Engineer)</t>
        </is>
      </c>
      <c r="B191" t="inlineStr">
        <is>
          <t>Trade</t>
        </is>
      </c>
      <c r="C191" t="inlineStr">
        <is>
          <t>Dex</t>
        </is>
      </c>
      <c r="D191" t="inlineStr">
        <is>
          <t>Advanced</t>
        </is>
      </c>
      <c r="E191" t="inlineStr">
        <is>
          <t>Yes</t>
        </is>
      </c>
      <c r="F191" t="inlineStr">
        <is>
          <t>Your ability to practice a trade, to create something or provide a service, as well as your knowledge of the relevant lore surrounding your trade.</t>
        </is>
      </c>
      <c r="G191" t="n">
        <v>114</v>
      </c>
    </row>
    <row r="192">
      <c r="A192" t="inlineStr">
        <is>
          <t>Trade (Engraver)</t>
        </is>
      </c>
      <c r="B192" t="inlineStr">
        <is>
          <t>Trade</t>
        </is>
      </c>
      <c r="C192" t="inlineStr">
        <is>
          <t>Dex</t>
        </is>
      </c>
      <c r="D192" t="inlineStr">
        <is>
          <t>Advanced</t>
        </is>
      </c>
      <c r="E192" t="inlineStr">
        <is>
          <t>Yes</t>
        </is>
      </c>
      <c r="F192" t="inlineStr">
        <is>
          <t>Your ability to practice a trade, to create something or provide a service, as well as your knowledge of the relevant lore surrounding your trade.</t>
        </is>
      </c>
      <c r="G192" t="n">
        <v>114</v>
      </c>
    </row>
    <row r="193">
      <c r="A193" t="inlineStr">
        <is>
          <t>Trade (Explosives)</t>
        </is>
      </c>
      <c r="B193" t="inlineStr">
        <is>
          <t>Trade</t>
        </is>
      </c>
      <c r="C193" t="inlineStr">
        <is>
          <t>Dex</t>
        </is>
      </c>
      <c r="D193" t="inlineStr">
        <is>
          <t>Advanced</t>
        </is>
      </c>
      <c r="E193" t="inlineStr">
        <is>
          <t>Yes</t>
        </is>
      </c>
      <c r="F193" t="inlineStr">
        <is>
          <t>Your ability to practice a trade, to create something or provide a service, as well as your knowledge of the relevant lore surrounding your trade.</t>
        </is>
      </c>
      <c r="G193" t="n">
        <v>114</v>
      </c>
    </row>
    <row r="194">
      <c r="A194" t="inlineStr">
        <is>
          <t>Trade (Farrier)</t>
        </is>
      </c>
      <c r="B194" t="inlineStr">
        <is>
          <t>Trade</t>
        </is>
      </c>
      <c r="C194" t="inlineStr">
        <is>
          <t>Dex</t>
        </is>
      </c>
      <c r="D194" t="inlineStr">
        <is>
          <t>Advanced</t>
        </is>
      </c>
      <c r="E194" t="inlineStr">
        <is>
          <t>Yes</t>
        </is>
      </c>
      <c r="F194" t="inlineStr">
        <is>
          <t>Your ability to practice a trade, to create something or provide a service, as well as your knowledge of the relevant lore surrounding your trade.</t>
        </is>
      </c>
      <c r="G194" t="n">
        <v>114</v>
      </c>
    </row>
    <row r="195">
      <c r="A195" t="inlineStr">
        <is>
          <t>Trade (Gunsmith)</t>
        </is>
      </c>
      <c r="B195" t="inlineStr">
        <is>
          <t>Trade</t>
        </is>
      </c>
      <c r="C195" t="inlineStr">
        <is>
          <t>Dex</t>
        </is>
      </c>
      <c r="D195" t="inlineStr">
        <is>
          <t>Advanced</t>
        </is>
      </c>
      <c r="E195" t="inlineStr">
        <is>
          <t>Yes</t>
        </is>
      </c>
      <c r="F195" t="inlineStr">
        <is>
          <t>Your ability to practice a trade, to create something or provide a service, as well as your knowledge of the relevant lore surrounding your trade.</t>
        </is>
      </c>
      <c r="G195" t="n">
        <v>114</v>
      </c>
    </row>
    <row r="196">
      <c r="A196" t="inlineStr">
        <is>
          <t>Trade (Herbalist)</t>
        </is>
      </c>
      <c r="B196" t="inlineStr">
        <is>
          <t>Trade</t>
        </is>
      </c>
      <c r="C196" t="inlineStr">
        <is>
          <t>Dex</t>
        </is>
      </c>
      <c r="D196" t="inlineStr">
        <is>
          <t>Advanced</t>
        </is>
      </c>
      <c r="E196" t="inlineStr">
        <is>
          <t>Yes</t>
        </is>
      </c>
      <c r="F196" t="inlineStr">
        <is>
          <t>Your ability to practice a trade, to create something or provide a service, as well as your knowledge of the relevant lore surrounding your trade.</t>
        </is>
      </c>
      <c r="G196" t="n">
        <v>114</v>
      </c>
    </row>
    <row r="197">
      <c r="A197" t="inlineStr">
        <is>
          <t>Trade (Poisoner)</t>
        </is>
      </c>
      <c r="B197" t="inlineStr">
        <is>
          <t>Trade</t>
        </is>
      </c>
      <c r="C197" t="inlineStr">
        <is>
          <t>Dex</t>
        </is>
      </c>
      <c r="D197" t="inlineStr">
        <is>
          <t>Advanced</t>
        </is>
      </c>
      <c r="E197" t="inlineStr">
        <is>
          <t>Yes</t>
        </is>
      </c>
      <c r="F197" t="inlineStr">
        <is>
          <t>Your ability to practice a trade, to create something or provide a service, as well as your knowledge of the relevant lore surrounding your trade.</t>
        </is>
      </c>
      <c r="G197" t="n">
        <v>114</v>
      </c>
    </row>
    <row r="198">
      <c r="A198" t="inlineStr">
        <is>
          <t>Trade (Printing)</t>
        </is>
      </c>
      <c r="B198" t="inlineStr">
        <is>
          <t>Trade</t>
        </is>
      </c>
      <c r="C198" t="inlineStr">
        <is>
          <t>Dex</t>
        </is>
      </c>
      <c r="D198" t="inlineStr">
        <is>
          <t>Advanced</t>
        </is>
      </c>
      <c r="E198" t="inlineStr">
        <is>
          <t>Yes</t>
        </is>
      </c>
      <c r="F198" t="inlineStr">
        <is>
          <t>Your ability to practice a trade, to create something or provide a service, as well as your knowledge of the relevant lore surrounding your trade.</t>
        </is>
      </c>
      <c r="G198" t="n">
        <v>114</v>
      </c>
    </row>
    <row r="199">
      <c r="A199" t="inlineStr">
        <is>
          <t>Trade (Shipwright)</t>
        </is>
      </c>
      <c r="B199" t="inlineStr">
        <is>
          <t>Trade</t>
        </is>
      </c>
      <c r="C199" t="inlineStr">
        <is>
          <t>Dex</t>
        </is>
      </c>
      <c r="D199" t="inlineStr">
        <is>
          <t>Advanced</t>
        </is>
      </c>
      <c r="E199" t="inlineStr">
        <is>
          <t>Yes</t>
        </is>
      </c>
      <c r="F199" t="inlineStr">
        <is>
          <t>Your ability to practice a trade, to create something or provide a service, as well as your knowledge of the relevant lore surrounding your trade.</t>
        </is>
      </c>
      <c r="G199" t="n">
        <v>114</v>
      </c>
    </row>
    <row r="200">
      <c r="A200" t="inlineStr">
        <is>
          <t>Trade (Smith)</t>
        </is>
      </c>
      <c r="B200" t="inlineStr">
        <is>
          <t>Trade</t>
        </is>
      </c>
      <c r="C200" t="inlineStr">
        <is>
          <t>Dex</t>
        </is>
      </c>
      <c r="D200" t="inlineStr">
        <is>
          <t>Advanced</t>
        </is>
      </c>
      <c r="E200" t="inlineStr">
        <is>
          <t>Yes</t>
        </is>
      </c>
      <c r="F200" t="inlineStr">
        <is>
          <t>Your ability to practice a trade, to create something or provide a service, as well as your knowledge of the relevant lore surrounding your trade.</t>
        </is>
      </c>
      <c r="G200" t="n">
        <v>114</v>
      </c>
    </row>
    <row r="201">
      <c r="A201" t="inlineStr">
        <is>
          <t>Trade (Tanner)</t>
        </is>
      </c>
      <c r="B201" t="inlineStr">
        <is>
          <t>Trade</t>
        </is>
      </c>
      <c r="C201" t="inlineStr">
        <is>
          <t>Dex</t>
        </is>
      </c>
      <c r="D201" t="inlineStr">
        <is>
          <t>Advanced</t>
        </is>
      </c>
      <c r="E201" t="inlineStr">
        <is>
          <t>Yes</t>
        </is>
      </c>
      <c r="F201" t="inlineStr">
        <is>
          <t>Your ability to practice a trade, to create something or provide a service, as well as your knowledge of the relevant lore surrounding your trade.</t>
        </is>
      </c>
      <c r="G201" t="n">
        <v>114</v>
      </c>
    </row>
    <row r="202">
      <c r="A202" t="inlineStr">
        <is>
          <t>Trade (Tinker)</t>
        </is>
      </c>
      <c r="B202" t="inlineStr">
        <is>
          <t>Trade</t>
        </is>
      </c>
      <c r="C202" t="inlineStr">
        <is>
          <t>Dex</t>
        </is>
      </c>
      <c r="D202" t="inlineStr">
        <is>
          <t>Advanced</t>
        </is>
      </c>
      <c r="E202" t="inlineStr">
        <is>
          <t>Yes</t>
        </is>
      </c>
      <c r="F202" t="inlineStr">
        <is>
          <t>Your ability to practice a trade, to create something or provide a service, as well as your knowledge of the relevant lore surrounding your trade.</t>
        </is>
      </c>
      <c r="G202" t="n">
        <v>114</v>
      </c>
    </row>
  </sheetData>
  <autoFilter ref="A1:G202"/>
  <pageMargins left="0.75" right="0.75" top="1" bottom="1" header="0.5" footer="0.5"/>
</worksheet>
</file>

<file path=xl/worksheets/sheet8.xml><?xml version="1.0" encoding="utf-8"?>
<worksheet xmlns="http://schemas.openxmlformats.org/spreadsheetml/2006/main">
  <sheetPr>
    <tabColor rgb="00808080"/>
    <outlinePr summaryBelow="1" summaryRight="1"/>
    <pageSetUpPr/>
  </sheetPr>
  <dimension ref="A1:F230"/>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0" customWidth="1" min="3" max="3"/>
    <col width="10" customWidth="1" min="4" max="4"/>
    <col width="100" customWidth="1" min="5" max="5"/>
    <col width="6" customWidth="1" min="6" max="6"/>
  </cols>
  <sheetData>
    <row r="1">
      <c r="A1" s="37" t="inlineStr">
        <is>
          <t>Talent</t>
        </is>
      </c>
      <c r="B1" s="37" t="inlineStr">
        <is>
          <t>Base talent</t>
        </is>
      </c>
      <c r="C1" s="37" t="inlineStr">
        <is>
          <t>Can take multiple times</t>
        </is>
      </c>
      <c r="D1" s="37" t="inlineStr">
        <is>
          <t>Characteristic bonus (+5)</t>
        </is>
      </c>
      <c r="E1" s="37" t="inlineStr">
        <is>
          <t>Description</t>
        </is>
      </c>
      <c r="F1" s="37" t="inlineStr">
        <is>
          <t>Page</t>
        </is>
      </c>
    </row>
    <row r="2">
      <c r="A2" t="inlineStr">
        <is>
          <t>Accurate Shot</t>
        </is>
      </c>
      <c r="B2" t="inlineStr">
        <is>
          <t>Accurate Shot</t>
        </is>
      </c>
      <c r="C2" t="inlineStr">
        <is>
          <t>No</t>
        </is>
      </c>
      <c r="E2" t="inlineStr">
        <is>
          <t>You are an exceptional shot and know where to shoot an enemy to inflict maximum damage. Your successful Ranged Attacks inflict +1 Damage, or +2 if you took the time to aim (page 167).</t>
        </is>
      </c>
      <c r="F2" t="n">
        <v>114</v>
      </c>
    </row>
    <row r="3">
      <c r="A3" t="inlineStr">
        <is>
          <t>Acute Sense (Hearing)</t>
        </is>
      </c>
      <c r="B3" t="inlineStr">
        <is>
          <t>Acute Sense</t>
        </is>
      </c>
      <c r="C3" t="inlineStr">
        <is>
          <t>Yes</t>
        </is>
      </c>
      <c r="E3" t="inlineStr">
        <is>
          <t>You may take Perception Tests to detect normally imperceptible details with the associated sense, as dictated by the GM. For example, you might be able to hear the difference between the cry of one wolf and another, or taste the difference between the exact same vintage of wine bottled on two different days.</t>
        </is>
      </c>
      <c r="F3" t="n">
        <v>114</v>
      </c>
    </row>
    <row r="4">
      <c r="A4" t="inlineStr">
        <is>
          <t>Acute Sense (Sense)</t>
        </is>
      </c>
      <c r="B4" t="inlineStr">
        <is>
          <t>Acute Sense</t>
        </is>
      </c>
      <c r="C4" t="inlineStr">
        <is>
          <t>Yes</t>
        </is>
      </c>
      <c r="E4" t="inlineStr">
        <is>
          <t>You may take Perception Tests to detect normally imperceptible details with the associated sense, as dictated by the GM. For example, you might be able to hear the difference between the cry of one wolf and another, or taste the difference between the exact same vintage of wine bottled on two different days.</t>
        </is>
      </c>
      <c r="F4" t="n">
        <v>114</v>
      </c>
    </row>
    <row r="5">
      <c r="A5" t="inlineStr">
        <is>
          <t>Acute Sense (Sight)</t>
        </is>
      </c>
      <c r="B5" t="inlineStr">
        <is>
          <t>Acute Sense</t>
        </is>
      </c>
      <c r="C5" t="inlineStr">
        <is>
          <t>Yes</t>
        </is>
      </c>
      <c r="E5" t="inlineStr">
        <is>
          <t>You may take Perception Tests to detect normally imperceptible details with the associated sense, as dictated by the GM. For example, you might be able to hear the difference between the cry of one wolf and another, or taste the difference between the exact same vintage of wine bottled on two different days.</t>
        </is>
      </c>
      <c r="F5" t="n">
        <v>114</v>
      </c>
    </row>
    <row r="6">
      <c r="A6" t="inlineStr">
        <is>
          <t>Acute Sense (Taste)</t>
        </is>
      </c>
      <c r="B6" t="inlineStr">
        <is>
          <t>Acute Sense</t>
        </is>
      </c>
      <c r="C6" t="inlineStr">
        <is>
          <t>Yes</t>
        </is>
      </c>
      <c r="E6" t="inlineStr">
        <is>
          <t>You may take Perception Tests to detect normally imperceptible details with the associated sense, as dictated by the GM. For example, you might be able to hear the difference between the cry of one wolf and another, or taste the difference between the exact same vintage of wine bottled on two different days.</t>
        </is>
      </c>
      <c r="F6" t="n">
        <v>114</v>
      </c>
    </row>
    <row r="7">
      <c r="A7" t="inlineStr">
        <is>
          <t>Acute Sense (Touch)</t>
        </is>
      </c>
      <c r="B7" t="inlineStr">
        <is>
          <t>Acute Sense</t>
        </is>
      </c>
      <c r="C7" t="inlineStr">
        <is>
          <t>Yes</t>
        </is>
      </c>
      <c r="E7" t="inlineStr">
        <is>
          <t>You may take Perception Tests to detect normally imperceptible details with the associated sense, as dictated by the GM. For example, you might be able to hear the difference between the cry of one wolf and another, or taste the difference between the exact same vintage of wine bottled on two different days.</t>
        </is>
      </c>
      <c r="F7" t="n">
        <v>114</v>
      </c>
    </row>
    <row r="8">
      <c r="A8" t="inlineStr">
        <is>
          <t>Aethyric Attunement</t>
        </is>
      </c>
      <c r="B8" t="inlineStr">
        <is>
          <t>Aethyric Attunement</t>
        </is>
      </c>
      <c r="C8" t="inlineStr">
        <is>
          <t>Yes</t>
        </is>
      </c>
      <c r="E8" t="inlineStr">
        <is>
          <t>Your experience, talent, or training lets you accumulate magical energy with a reduced risk of miscasts. If you would roll on the Minor Miscast Table, you may roll twice and choose whichever result you prefer. You may purchase this Talent a second time to gain the same benefit when rolling on the Major Miscast Table.</t>
        </is>
      </c>
      <c r="F8" t="n">
        <v>114</v>
      </c>
    </row>
    <row r="9">
      <c r="A9" t="inlineStr">
        <is>
          <t>Alley Cat</t>
        </is>
      </c>
      <c r="B9" t="inlineStr">
        <is>
          <t>Alley Cat</t>
        </is>
      </c>
      <c r="C9" t="inlineStr">
        <is>
          <t>No</t>
        </is>
      </c>
      <c r="E9" t="inlineStr">
        <is>
          <t>You are at home in cities, able to move about without drawing attention to yourself and vanish into any crowd. You gain Advantage on Stealth (Urban) Tests, and can figure out the quickest or least noticeable way to get across any town or city you are familiar with without making a Test.</t>
        </is>
      </c>
      <c r="F9" t="n">
        <v>114</v>
      </c>
    </row>
    <row r="10">
      <c r="A10" t="inlineStr">
        <is>
          <t>Ambidextrous</t>
        </is>
      </c>
      <c r="B10" t="inlineStr">
        <is>
          <t>Ambidextrous</t>
        </is>
      </c>
      <c r="C10" t="inlineStr">
        <is>
          <t>No</t>
        </is>
      </c>
      <c r="E10" t="inlineStr">
        <is>
          <t>You can use your off-hand far better than most folk, either by training or innate talent. You do not suffer the –2 SL penalty to Tests relying solely on your secondary hand, including attacks made with weapons held in that hand.</t>
        </is>
      </c>
      <c r="F10" t="n">
        <v>114</v>
      </c>
    </row>
    <row r="11">
      <c r="A11" t="inlineStr">
        <is>
          <t>Animal Affinity</t>
        </is>
      </c>
      <c r="B11" t="inlineStr">
        <is>
          <t>Animal Affinity</t>
        </is>
      </c>
      <c r="C11" t="inlineStr">
        <is>
          <t>No</t>
        </is>
      </c>
      <c r="E11" t="inlineStr">
        <is>
          <t>As long as you do not act aggressively towards them, wild animals will not ordinarily attack you. Specialisations: Grey Order, Guild (Any One), Ranger, Scout, Thief, Vagabond. You have been taught how to use clandestine markings only intelligible to members of a select group.</t>
        </is>
      </c>
      <c r="F11" t="n">
        <v>114</v>
      </c>
    </row>
    <row r="12">
      <c r="A12" t="inlineStr">
        <is>
          <t>Arcane Magic (Heavens)</t>
        </is>
      </c>
      <c r="B12" t="inlineStr">
        <is>
          <t>Arcane Magic</t>
        </is>
      </c>
      <c r="C12" t="inlineStr">
        <is>
          <t>No</t>
        </is>
      </c>
      <c r="E12" t="inlineStr">
        <is>
          <t>Upon learning the Talent, you gain one Spell of your choice from your chosen Lore. You may now memorise additional Spells from your chosen Lore for the following cost in XP. You may normally learn only one Arcane Lore of Magic.</t>
        </is>
      </c>
      <c r="F12" t="n">
        <v>115</v>
      </c>
    </row>
    <row r="13">
      <c r="A13" t="inlineStr">
        <is>
          <t>Arcane Magic (Hedgecraft)</t>
        </is>
      </c>
      <c r="B13" t="inlineStr">
        <is>
          <t>Arcane Magic</t>
        </is>
      </c>
      <c r="C13" t="inlineStr">
        <is>
          <t>No</t>
        </is>
      </c>
      <c r="E13" t="inlineStr">
        <is>
          <t>Upon learning the Talent, you gain one Spell of your choice from your chosen Lore. You may now memorise additional Spells from your chosen Lore for the following cost in XP. You may normally learn only one Arcane Lore of Magic.</t>
        </is>
      </c>
      <c r="F13" t="n">
        <v>115</v>
      </c>
    </row>
    <row r="14">
      <c r="A14" t="inlineStr">
        <is>
          <t>Arcane Magic (Lore)</t>
        </is>
      </c>
      <c r="B14" t="inlineStr">
        <is>
          <t>Arcane Magic</t>
        </is>
      </c>
      <c r="C14" t="inlineStr">
        <is>
          <t>No</t>
        </is>
      </c>
      <c r="E14" t="inlineStr">
        <is>
          <t>Upon learning the Talent, you gain one Spell of your choice from your chosen Lore. You may now memorise additional Spells from your chosen Lore for the following cost in XP. You may normally learn only one Arcane Lore of Magic.</t>
        </is>
      </c>
      <c r="F14" t="n">
        <v>115</v>
      </c>
    </row>
    <row r="15">
      <c r="A15" t="inlineStr">
        <is>
          <t>Arcane Magic (Witchcraft)</t>
        </is>
      </c>
      <c r="B15" t="inlineStr">
        <is>
          <t>Arcane Magic</t>
        </is>
      </c>
      <c r="C15" t="inlineStr">
        <is>
          <t>No</t>
        </is>
      </c>
      <c r="E15" t="inlineStr">
        <is>
          <t>Upon learning the Talent, you gain one Spell of your choice from your chosen Lore. You may now memorise additional Spells from your chosen Lore for the following cost in XP. You may normally learn only one Arcane Lore of Magic.</t>
        </is>
      </c>
      <c r="F15" t="n">
        <v>115</v>
      </c>
    </row>
    <row r="16">
      <c r="A16" t="inlineStr">
        <is>
          <t>Argumentative</t>
        </is>
      </c>
      <c r="B16" t="inlineStr">
        <is>
          <t>Argumentative</t>
        </is>
      </c>
      <c r="C16" t="inlineStr">
        <is>
          <t>No</t>
        </is>
      </c>
      <c r="E16" t="inlineStr">
        <is>
          <t>When you argue with someone, they must pass a Cool Test, opposed by your Charm, to disengage from a pointless debate with you. While arguing they are distracted, suffering a -3 SL penalty to most Tests unrelated to you, unless a more important issue is brought to their attention, or they are attacked.</t>
        </is>
      </c>
      <c r="F16" t="n">
        <v>115</v>
      </c>
    </row>
    <row r="17">
      <c r="A17" t="inlineStr">
        <is>
          <t>Artistic</t>
        </is>
      </c>
      <c r="B17" t="inlineStr">
        <is>
          <t>Artistic</t>
        </is>
      </c>
      <c r="C17" t="inlineStr">
        <is>
          <t>Yes</t>
        </is>
      </c>
      <c r="E17" t="inlineStr">
        <is>
          <t>You may always advance the Art Skill, even if it is not part of your current Career. When you choose this Talent, pick one form of written or representative art, such as painting or poetry. You gain Advantage on Art Tests when working in that medium.</t>
        </is>
      </c>
      <c r="F17" t="n">
        <v>115</v>
      </c>
    </row>
    <row r="18">
      <c r="A18" t="inlineStr">
        <is>
          <t>Artistic (Art)</t>
        </is>
      </c>
      <c r="B18" t="inlineStr">
        <is>
          <t>Artistic</t>
        </is>
      </c>
      <c r="C18" t="inlineStr">
        <is>
          <t>Yes</t>
        </is>
      </c>
      <c r="E18" t="inlineStr">
        <is>
          <t>You may always advance the Art Skill, even if it is not part of your current Career. When you choose this Talent, pick one form of written or representative art, such as painting or poetry. You gain Advantage on Art Tests when working in that medium.</t>
        </is>
      </c>
      <c r="F18" t="n">
        <v>115</v>
      </c>
    </row>
    <row r="19">
      <c r="A19" t="inlineStr">
        <is>
          <t>Attractive</t>
        </is>
      </c>
      <c r="B19" t="inlineStr">
        <is>
          <t>Attractive</t>
        </is>
      </c>
      <c r="C19" t="inlineStr">
        <is>
          <t>No</t>
        </is>
      </c>
      <c r="E19" t="inlineStr">
        <is>
          <t>When you successfully use Charm to influence those attracted to you, you can choose to either use your rolled SL, or the number rolled on your units die. Number of Spells currently known XP Cost for a new Spell Up to 5 100 XP 6 to 10 200 XP 11 to 15 300 XP 16 to 20 400 XP 21 and up 500 XP</t>
        </is>
      </c>
      <c r="F19" t="n">
        <v>115</v>
      </c>
    </row>
    <row r="20">
      <c r="A20" t="inlineStr">
        <is>
          <t>Battle Rage</t>
        </is>
      </c>
      <c r="B20" t="inlineStr">
        <is>
          <t>Battle Rage</t>
        </is>
      </c>
      <c r="C20" t="inlineStr">
        <is>
          <t>No</t>
        </is>
      </c>
      <c r="E20" t="inlineStr">
        <is>
          <t>You are always on the edge of self-control, ready to slip into a violent Frenzy at any moment (see page 184). If another ability would allow you to enter a state of Frenzy, you may do so without making a Test. Furthermore, when you exit the Frenzy state, you do not incur a Fatigued Condition.</t>
        </is>
      </c>
      <c r="F20" t="n">
        <v>115</v>
      </c>
    </row>
    <row r="21">
      <c r="A21" t="inlineStr">
        <is>
          <t>Beat Blade</t>
        </is>
      </c>
      <c r="B21" t="inlineStr">
        <is>
          <t>Beat Blade</t>
        </is>
      </c>
      <c r="C21" t="inlineStr">
        <is>
          <t>No</t>
        </is>
      </c>
      <c r="E21" t="inlineStr">
        <is>
          <t>Upon a successful Melee Attack, you may choose to forgo inflicting any Damage. If you do so, your opponent may not Oppose further Melee Tests with any Melee Skill until the end of their next Turn, and Melee Attacks made against them gain the benefit of Advantage. They may continue to oppose attacks with the Dodge Skill.</t>
        </is>
      </c>
      <c r="F21" t="n">
        <v>115</v>
      </c>
    </row>
    <row r="22">
      <c r="A22" t="inlineStr">
        <is>
          <t>Beneath Notice</t>
        </is>
      </c>
      <c r="B22" t="inlineStr">
        <is>
          <t>Beneath Notice</t>
        </is>
      </c>
      <c r="C22" t="inlineStr">
        <is>
          <t>No</t>
        </is>
      </c>
      <c r="E22" t="inlineStr">
        <is>
          <t>As long as you are properly attired and make some effort to fit in, most people will simply assume you are meant to be there. Gate guards and the like may ask your business, but any plausible explanation is sufficient for them to grant you passage.</t>
        </is>
      </c>
      <c r="F22" t="n">
        <v>115</v>
      </c>
    </row>
    <row r="23">
      <c r="A23" t="inlineStr">
        <is>
          <t>Berserk Charge</t>
        </is>
      </c>
      <c r="B23" t="inlineStr">
        <is>
          <t>Berserk Charge</t>
        </is>
      </c>
      <c r="C23" t="inlineStr">
        <is>
          <t>No</t>
        </is>
      </c>
      <c r="E23" t="inlineStr">
        <is>
          <t>You hurl yourself at your enemies with reckless abandon, using the force of your charge to add weight to your strike. When you Charge, add +2 Damage to your strike.</t>
        </is>
      </c>
      <c r="F23" t="n">
        <v>115</v>
      </c>
    </row>
    <row r="24">
      <c r="A24" t="inlineStr">
        <is>
          <t>Blather</t>
        </is>
      </c>
      <c r="B24" t="inlineStr">
        <is>
          <t>Blather</t>
        </is>
      </c>
      <c r="C24" t="inlineStr">
        <is>
          <t>No</t>
        </is>
      </c>
      <c r="E24" t="inlineStr">
        <is>
          <t>When you are caught, make a Charm Test, Opposed by your target's Cool. If you pass, your preposterous explanation convinces them for one Turn (or minute, depending on the situation) per SL you achieved on the Opposed Test.</t>
        </is>
      </c>
      <c r="F24" t="n">
        <v>115</v>
      </c>
    </row>
    <row r="25">
      <c r="A25" t="inlineStr">
        <is>
          <t>Bless (Deity)</t>
        </is>
      </c>
      <c r="B25" t="inlineStr">
        <is>
          <t>Bless</t>
        </is>
      </c>
      <c r="C25" t="inlineStr">
        <is>
          <t>No</t>
        </is>
      </c>
      <c r="E25" t="inlineStr">
        <is>
          <t>Upon learning the Talent, you manifest all the Blessings of the deity you worship. Under normal circumstances, you may not learn more than one Bless (Deity) Talent. Further, you may not learn the Channelling Skill or the Arcane Magic, Chaos Magic, Magic Resistance, Petty Magic, or Witch!</t>
        </is>
      </c>
      <c r="F25" t="n">
        <v>116</v>
      </c>
    </row>
    <row r="26">
      <c r="A26" t="inlineStr">
        <is>
          <t>Bookish</t>
        </is>
      </c>
      <c r="B26" t="inlineStr">
        <is>
          <t>Bookish</t>
        </is>
      </c>
      <c r="C26" t="inlineStr">
        <is>
          <t>No</t>
        </is>
      </c>
      <c r="E26" t="inlineStr">
        <is>
          <t>You are an avid reader, and know how to quickly navigate your way around a library. You gain Advantage on any Research Test you make.</t>
        </is>
      </c>
      <c r="F26" t="n">
        <v>116</v>
      </c>
    </row>
    <row r="27">
      <c r="A27" t="inlineStr">
        <is>
          <t>Break and Enter</t>
        </is>
      </c>
      <c r="B27" t="inlineStr">
        <is>
          <t>Break and Enter</t>
        </is>
      </c>
      <c r="C27" t="inlineStr">
        <is>
          <t>No</t>
        </is>
      </c>
      <c r="E27" t="inlineStr">
        <is>
          <t>Just by observing a building, locked room, or vault, you can determine what looks to be the fastest and quietest route in. Additionally, you have Advantage on Pick Lock Tests, or Strength Tests made to force open doors or windows.</t>
        </is>
      </c>
      <c r="F27" t="n">
        <v>116</v>
      </c>
    </row>
    <row r="28">
      <c r="A28" t="inlineStr">
        <is>
          <t>Briber</t>
        </is>
      </c>
      <c r="B28" t="inlineStr">
        <is>
          <t>Briber</t>
        </is>
      </c>
      <c r="C28" t="inlineStr">
        <is>
          <t>No</t>
        </is>
      </c>
      <c r="E28" t="inlineStr">
        <is>
          <t>You need only share a few words with someone to know if they are open to a bribe, and exactly how much would be required to have them turn a blind eye, or even assist in some nefarious activity. You have Advantage on any Bribery Test you make.</t>
        </is>
      </c>
      <c r="F28" t="n">
        <v>116</v>
      </c>
    </row>
    <row r="29">
      <c r="A29" t="inlineStr">
        <is>
          <t>Cardsharp</t>
        </is>
      </c>
      <c r="B29" t="inlineStr">
        <is>
          <t>Cardsharp</t>
        </is>
      </c>
      <c r="C29" t="inlineStr">
        <is>
          <t>No</t>
        </is>
      </c>
      <c r="E29" t="inlineStr">
        <is>
          <t>You are used to playing, and winning, at games, although your methods may involve a little cheating. When making an Opposed Gamble Test, if you roll a double, you may reroll your opponent's Test. This additionally negates any benefit your opponent may have gained with Sleight of Hand.</t>
        </is>
      </c>
      <c r="F29" t="n">
        <v>116</v>
      </c>
    </row>
    <row r="30">
      <c r="A30" t="inlineStr">
        <is>
          <t>Careful Strike</t>
        </is>
      </c>
      <c r="B30" t="inlineStr">
        <is>
          <t>Careful Strike</t>
        </is>
      </c>
      <c r="C30" t="inlineStr">
        <is>
          <t>No</t>
        </is>
      </c>
      <c r="E30" t="inlineStr">
        <is>
          <t>You are skilled at hitting your enemy exactly where you want to. When making a Melee Attack, the penalty for making a Called Shot is reduced to -1 SL. If your attack is made with Advantage, you may make a Called Shot at no penalty.</t>
        </is>
      </c>
      <c r="F30" t="n">
        <v>116</v>
      </c>
    </row>
    <row r="31">
      <c r="A31" t="inlineStr">
        <is>
          <t>Carouser</t>
        </is>
      </c>
      <c r="B31" t="inlineStr">
        <is>
          <t>Carouser</t>
        </is>
      </c>
      <c r="C31" t="inlineStr">
        <is>
          <t>No</t>
        </is>
      </c>
      <c r="E31" t="inlineStr">
        <is>
          <t>You do not suffer any ill effects from consuming modest amounts of alcohol, and only need to make a Consume Alcohol Test if drinking to excess — for example, if attempting to impress a bar full of dwarfs.</t>
        </is>
      </c>
      <c r="F31" t="n">
        <v>116</v>
      </c>
    </row>
    <row r="32">
      <c r="A32" t="inlineStr">
        <is>
          <t>Cat-tongued</t>
        </is>
      </c>
      <c r="B32" t="inlineStr">
        <is>
          <t>Cat-tongued</t>
        </is>
      </c>
      <c r="C32" t="inlineStr">
        <is>
          <t>No</t>
        </is>
      </c>
      <c r="E32" t="inlineStr">
        <is>
          <t>Like Ranald the Trickster God, you blend truth and lies as if there were no difference. You gain Advantage on any Charm Test you make to lie convincingly.</t>
        </is>
      </c>
      <c r="F32" t="n">
        <v>116</v>
      </c>
    </row>
    <row r="33">
      <c r="A33" t="inlineStr">
        <is>
          <t>Catfall</t>
        </is>
      </c>
      <c r="B33" t="inlineStr">
        <is>
          <t>Catfall</t>
        </is>
      </c>
      <c r="C33" t="inlineStr">
        <is>
          <t>No</t>
        </is>
      </c>
      <c r="E33" t="inlineStr">
        <is>
          <t>You are as nimble and balanced as a cat. Whenever you fall, it counts as a deliberate fall, allowing you to make an Athletics Test to reduce any Damage incurred. You also gain Advantage on Athletics Tests made while falling.</t>
        </is>
      </c>
      <c r="F33" t="n">
        <v>116</v>
      </c>
    </row>
    <row r="34">
      <c r="A34" t="inlineStr">
        <is>
          <t>Chaos Magic (Lore)</t>
        </is>
      </c>
      <c r="B34" t="inlineStr">
        <is>
          <t>Chaos Magic</t>
        </is>
      </c>
      <c r="C34" t="inlineStr">
        <is>
          <t>No</t>
        </is>
      </c>
      <c r="E34" t="inlineStr">
        <is>
          <t>Your ruinous patron immediately grants you access to Spells from the chosen Chaos Lore. Upon learning the Talent, you gain one Spell of your choice from your chosen Lore. You may now memorise additional Spells from your chosen Lore for the following cost in XP.</t>
        </is>
      </c>
      <c r="F34" t="n">
        <v>116</v>
      </c>
    </row>
    <row r="35">
      <c r="A35" t="inlineStr">
        <is>
          <t>Combat Aware</t>
        </is>
      </c>
      <c r="B35" t="inlineStr">
        <is>
          <t>Combat Aware</t>
        </is>
      </c>
      <c r="C35" t="inlineStr">
        <is>
          <t>No</t>
        </is>
      </c>
      <c r="E35" t="inlineStr">
        <is>
          <t>You are used to scanning the battlefield to make snap decisions informed by the shifting tides of war. You may take a Challenging (+0 SL) Perception Test to avoid gaining the Surprised Condition. If the GM would normally allow a Test to ignore Surprise in this circumstance, you automatically succeed.</t>
        </is>
      </c>
      <c r="F35" t="n">
        <v>116</v>
      </c>
    </row>
    <row r="36">
      <c r="A36" t="inlineStr">
        <is>
          <t>Combat Master</t>
        </is>
      </c>
      <c r="B36" t="inlineStr">
        <is>
          <t>Combat Master</t>
        </is>
      </c>
      <c r="C36" t="inlineStr">
        <is>
          <t>No</t>
        </is>
      </c>
      <c r="E36" t="inlineStr">
        <is>
          <t>You are adept at making your presence felt on the battlefield, using your size or speed to corner your opponents. You count as two people for the purposes of outnumbering an opponent, or when determining if your side is outnumbered. See page 167 for the rules for outnumbering.</t>
        </is>
      </c>
      <c r="F36" t="n">
        <v>116</v>
      </c>
    </row>
    <row r="37">
      <c r="A37" t="inlineStr">
        <is>
          <t>Combat Reflexes</t>
        </is>
      </c>
      <c r="B37" t="inlineStr">
        <is>
          <t>Combat Reflexes</t>
        </is>
      </c>
      <c r="C37" t="inlineStr">
        <is>
          <t>No</t>
        </is>
      </c>
      <c r="E37" t="inlineStr">
        <is>
          <t>You react quickly to danger, leaping to attack your enemy without pause. When you roll for Combat Initiative, roll twice and choose your prefered result.</t>
        </is>
      </c>
      <c r="F37" t="n">
        <v>117</v>
      </c>
    </row>
    <row r="38">
      <c r="A38" t="inlineStr">
        <is>
          <t>Commanding Presence</t>
        </is>
      </c>
      <c r="B38" t="inlineStr">
        <is>
          <t>Commanding Presence</t>
        </is>
      </c>
      <c r="C38" t="inlineStr">
        <is>
          <t>No</t>
        </is>
      </c>
      <c r="E38" t="inlineStr">
        <is>
          <t>Your presence inspires awe and admiration. In the absence of recognised authority, most people naturally look to you for leadership in a crisis and follow any reasonable orders you give. In addition, you gain Advantage on Leadership Tests.</t>
        </is>
      </c>
      <c r="F38" t="n">
        <v>117</v>
      </c>
    </row>
    <row r="39">
      <c r="A39" t="inlineStr">
        <is>
          <t>Concoct</t>
        </is>
      </c>
      <c r="B39" t="inlineStr">
        <is>
          <t>Concoct</t>
        </is>
      </c>
      <c r="C39" t="inlineStr">
        <is>
          <t>No</t>
        </is>
      </c>
      <c r="E39" t="inlineStr">
        <is>
          <t>You may make a free Crafting Endeavour each session to use Trade (Apothecary, Herbalist, or Poisoner) without the need for a Workshop. Trade Tools and raw materials are still required.</t>
        </is>
      </c>
      <c r="F39" t="n">
        <v>117</v>
      </c>
    </row>
    <row r="40">
      <c r="A40" t="inlineStr">
        <is>
          <t>Contortionist</t>
        </is>
      </c>
      <c r="B40" t="inlineStr">
        <is>
          <t>Contortionist</t>
        </is>
      </c>
      <c r="C40" t="inlineStr">
        <is>
          <t>No</t>
        </is>
      </c>
      <c r="E40" t="inlineStr">
        <is>
          <t>You can bend and manipulate your body in a myriad of seemingly unnatural ways. This allows you to squeeze through gaps that would normally be difficult or impossible, at the GM's discretion. You gain Advantage on any Athletics Test made to escape from bonds.</t>
        </is>
      </c>
      <c r="F40" t="n">
        <v>117</v>
      </c>
    </row>
    <row r="41">
      <c r="A41" t="inlineStr">
        <is>
          <t>Coolheaded</t>
        </is>
      </c>
      <c r="B41" t="inlineStr">
        <is>
          <t>Coolheaded</t>
        </is>
      </c>
      <c r="C41" t="inlineStr">
        <is>
          <t>No</t>
        </is>
      </c>
      <c r="D41" t="inlineStr">
        <is>
          <t>WP</t>
        </is>
      </c>
      <c r="E41" t="inlineStr">
        <is>
          <t>Gain +5 Willpower. This does not count toward Advances.</t>
        </is>
      </c>
      <c r="F41" t="n">
        <v>117</v>
      </c>
    </row>
    <row r="42">
      <c r="A42" t="inlineStr">
        <is>
          <t>Crack the Whip</t>
        </is>
      </c>
      <c r="B42" t="inlineStr">
        <is>
          <t>Crack the Whip</t>
        </is>
      </c>
      <c r="C42" t="inlineStr">
        <is>
          <t>No</t>
        </is>
      </c>
      <c r="E42" t="inlineStr">
        <is>
          <t>You know how to get the most out of your animals. Assuming you have the Drive Skill, you can direct your vehicle's animals to take an Action, as well as a Move, without a Test. When a Drive Test is required, make it with Advantage. When driving a vehicle in a Pursuit, add +1 to the animals' Movement Attributes.</t>
        </is>
      </c>
      <c r="F42" t="n">
        <v>117</v>
      </c>
    </row>
    <row r="43">
      <c r="A43" t="inlineStr">
        <is>
          <t>Craftsman (Apothecary)</t>
        </is>
      </c>
      <c r="B43" t="inlineStr">
        <is>
          <t>Craftsman</t>
        </is>
      </c>
      <c r="C43" t="inlineStr">
        <is>
          <t>Yes</t>
        </is>
      </c>
      <c r="E43" t="inlineStr">
        <is>
          <t>Choose a Trade Specialisation. You gain Advantage on Tests of this skill, and may Advance it even if it is not part of your current Career. You may purchase this Talent more than once, choosing a new Trade Specialisation each time you do.</t>
        </is>
      </c>
      <c r="F43" t="n">
        <v>117</v>
      </c>
    </row>
    <row r="44">
      <c r="A44" t="inlineStr">
        <is>
          <t>Craftsman (Barber)</t>
        </is>
      </c>
      <c r="B44" t="inlineStr">
        <is>
          <t>Craftsman</t>
        </is>
      </c>
      <c r="C44" t="inlineStr">
        <is>
          <t>Yes</t>
        </is>
      </c>
      <c r="E44" t="inlineStr">
        <is>
          <t>Choose a Trade Specialisation. You gain Advantage on Tests of this skill, and may Advance it even if it is not part of your current Career. You may purchase this Talent more than once, choosing a new Trade Specialisation each time you do.</t>
        </is>
      </c>
      <c r="F44" t="n">
        <v>117</v>
      </c>
    </row>
    <row r="45">
      <c r="A45" t="inlineStr">
        <is>
          <t>Craftsman (Boatbuilder)</t>
        </is>
      </c>
      <c r="B45" t="inlineStr">
        <is>
          <t>Craftsman</t>
        </is>
      </c>
      <c r="C45" t="inlineStr">
        <is>
          <t>Yes</t>
        </is>
      </c>
      <c r="E45" t="inlineStr">
        <is>
          <t>Choose a Trade Specialisation. You gain Advantage on Tests of this skill, and may Advance it even if it is not part of your current Career. You may purchase this Talent more than once, choosing a new Trade Specialisation each time you do.</t>
        </is>
      </c>
      <c r="F45" t="n">
        <v>117</v>
      </c>
    </row>
    <row r="46">
      <c r="A46" t="inlineStr">
        <is>
          <t>Craftsman (Cartographer)</t>
        </is>
      </c>
      <c r="B46" t="inlineStr">
        <is>
          <t>Craftsman</t>
        </is>
      </c>
      <c r="C46" t="inlineStr">
        <is>
          <t>Yes</t>
        </is>
      </c>
      <c r="E46" t="inlineStr">
        <is>
          <t>Choose a Trade Specialisation. You gain Advantage on Tests of this skill, and may Advance it even if it is not part of your current Career. You may purchase this Talent more than once, choosing a new Trade Specialisation each time you do.</t>
        </is>
      </c>
      <c r="F46" t="n">
        <v>117</v>
      </c>
    </row>
    <row r="47">
      <c r="A47" t="inlineStr">
        <is>
          <t>Craftsman (Engineer)</t>
        </is>
      </c>
      <c r="B47" t="inlineStr">
        <is>
          <t>Craftsman</t>
        </is>
      </c>
      <c r="C47" t="inlineStr">
        <is>
          <t>Yes</t>
        </is>
      </c>
      <c r="E47" t="inlineStr">
        <is>
          <t>Choose a Trade Specialisation. You gain Advantage on Tests of this skill, and may Advance it even if it is not part of your current Career. You may purchase this Talent more than once, choosing a new Trade Specialisation each time you do.</t>
        </is>
      </c>
      <c r="F47" t="n">
        <v>117</v>
      </c>
    </row>
    <row r="48">
      <c r="A48" t="inlineStr">
        <is>
          <t>Craftsman (Explosives)</t>
        </is>
      </c>
      <c r="B48" t="inlineStr">
        <is>
          <t>Craftsman</t>
        </is>
      </c>
      <c r="C48" t="inlineStr">
        <is>
          <t>Yes</t>
        </is>
      </c>
      <c r="E48" t="inlineStr">
        <is>
          <t>Choose a Trade Specialisation. You gain Advantage on Tests of this skill, and may Advance it even if it is not part of your current Career. You may purchase this Talent more than once, choosing a new Trade Specialisation each time you do.</t>
        </is>
      </c>
      <c r="F48" t="n">
        <v>117</v>
      </c>
    </row>
    <row r="49">
      <c r="A49" t="inlineStr">
        <is>
          <t>Craftsman (Herbalist)</t>
        </is>
      </c>
      <c r="B49" t="inlineStr">
        <is>
          <t>Craftsman</t>
        </is>
      </c>
      <c r="C49" t="inlineStr">
        <is>
          <t>Yes</t>
        </is>
      </c>
      <c r="E49" t="inlineStr">
        <is>
          <t>Choose a Trade Specialisation. You gain Advantage on Tests of this skill, and may Advance it even if it is not part of your current Career. You may purchase this Talent more than once, choosing a new Trade Specialisation each time you do.</t>
        </is>
      </c>
      <c r="F49" t="n">
        <v>117</v>
      </c>
    </row>
    <row r="50">
      <c r="A50" t="inlineStr">
        <is>
          <t>Craftsman (Trade)</t>
        </is>
      </c>
      <c r="B50" t="inlineStr">
        <is>
          <t>Craftsman</t>
        </is>
      </c>
      <c r="C50" t="inlineStr">
        <is>
          <t>Yes</t>
        </is>
      </c>
      <c r="E50" t="inlineStr">
        <is>
          <t>Choose a Trade Specialisation. You gain Advantage on Tests of this skill, and may Advance it even if it is not part of your current Career. You may purchase this Talent more than once, choosing a new Trade Specialisation each time you do.</t>
        </is>
      </c>
      <c r="F50" t="n">
        <v>117</v>
      </c>
    </row>
    <row r="51">
      <c r="A51" t="inlineStr">
        <is>
          <t>Criminal</t>
        </is>
      </c>
      <c r="B51" t="inlineStr">
        <is>
          <t>Criminal</t>
        </is>
      </c>
      <c r="C51" t="inlineStr">
        <is>
          <t>No</t>
        </is>
      </c>
      <c r="E51" t="inlineStr">
        <is>
          <t>When you successfully use the Income Endeavour to earn coin from a criminal enterprise of any kind, double the resulting coin. Whether through distinctive tattoos, shifty looks, or a rough demeanour, your criminal nature is hard to hide.</t>
        </is>
      </c>
      <c r="F51" t="n">
        <v>117</v>
      </c>
    </row>
    <row r="52">
      <c r="A52" t="inlineStr">
        <is>
          <t>Deadeye Shot</t>
        </is>
      </c>
      <c r="B52" t="inlineStr">
        <is>
          <t>Deadeye Shot</t>
        </is>
      </c>
      <c r="C52" t="inlineStr">
        <is>
          <t>No</t>
        </is>
      </c>
      <c r="E52" t="inlineStr">
        <is>
          <t>You always hit an opponent right between the eyes, or wherever else you intend to hit. When making a Ranged Attack, the penalty for making a Called Shot is reduced to -1 SL, or removed entirely if you are making an aimed shot (page 167).</t>
        </is>
      </c>
      <c r="F52" t="n">
        <v>117</v>
      </c>
    </row>
    <row r="53">
      <c r="A53" t="inlineStr">
        <is>
          <t>Dealmaker</t>
        </is>
      </c>
      <c r="B53" t="inlineStr">
        <is>
          <t>Dealmaker</t>
        </is>
      </c>
      <c r="C53" t="inlineStr">
        <is>
          <t>No</t>
        </is>
      </c>
      <c r="E53" t="inlineStr">
        <is>
          <t>You are a skilled businessman who knows how to close a deal. You gain Advantage on any Haggle Test you make, and usually have a good idea of when an offer really is final.</t>
        </is>
      </c>
      <c r="F53" t="n">
        <v>117</v>
      </c>
    </row>
    <row r="54">
      <c r="A54" t="inlineStr">
        <is>
          <t>Detect Artefact</t>
        </is>
      </c>
      <c r="B54" t="inlineStr">
        <is>
          <t>Detect Artefact</t>
        </is>
      </c>
      <c r="C54" t="inlineStr">
        <is>
          <t>No</t>
        </is>
      </c>
      <c r="E54" t="inlineStr">
        <is>
          <t>You are able to sense when magic lies within an artefact. You can automatically tell if an item contains magical energy merely by touching it. If you also possess the Second Sight Talent, you may attempt an Intuition Test to determine the exact powers, means of activation, and number of charges the item possesses.</t>
        </is>
      </c>
      <c r="F54" t="n">
        <v>117</v>
      </c>
    </row>
    <row r="55">
      <c r="A55" t="inlineStr">
        <is>
          <t>Dicer</t>
        </is>
      </c>
      <c r="B55" t="inlineStr">
        <is>
          <t>Dicer</t>
        </is>
      </c>
      <c r="C55" t="inlineStr">
        <is>
          <t>No</t>
        </is>
      </c>
      <c r="E55" t="inlineStr">
        <is>
          <t>You are a gaming master, so skilled and lucky in most games of chance that you are frequently accused of cheating, despite rarely needing to. You gain Advantage on any Gamble Test you make.</t>
        </is>
      </c>
      <c r="F55" t="n">
        <v>118</v>
      </c>
    </row>
    <row r="56">
      <c r="A56" t="inlineStr">
        <is>
          <t>Dirty Fighting</t>
        </is>
      </c>
      <c r="B56" t="inlineStr">
        <is>
          <t>Dirty Fighting</t>
        </is>
      </c>
      <c r="C56" t="inlineStr">
        <is>
          <t>No</t>
        </is>
      </c>
      <c r="E56" t="inlineStr">
        <is>
          <t>You have been taught all the dirty tricks of unarmed combat. If you make a Called Shot to the body with an unarmed strike and deal any Wounds, you may choose to sacrifice the normal Damage to inflict the Low Blow! Critical Wound (see page 175).</t>
        </is>
      </c>
      <c r="F56" t="n">
        <v>118</v>
      </c>
    </row>
    <row r="57">
      <c r="A57" t="inlineStr">
        <is>
          <t>Disarm</t>
        </is>
      </c>
      <c r="B57" t="inlineStr">
        <is>
          <t>Disarm</t>
        </is>
      </c>
      <c r="C57" t="inlineStr">
        <is>
          <t>No</t>
        </is>
      </c>
      <c r="E57" t="inlineStr">
        <is>
          <t>Upon a successful melee strike as the attacker, you may choose to sacrifice the Damage. If you do so, your opponent loses a held weapon, which flies 1d10 feet in a random direction. If you wish, you may lose Momentum to pluck the weapon from the air with a flourish.</t>
        </is>
      </c>
      <c r="F57" t="n">
        <v>118</v>
      </c>
    </row>
    <row r="58">
      <c r="A58" t="inlineStr">
        <is>
          <t>Distract</t>
        </is>
      </c>
      <c r="B58" t="inlineStr">
        <is>
          <t>Distract</t>
        </is>
      </c>
      <c r="C58" t="inlineStr">
        <is>
          <t>No</t>
        </is>
      </c>
      <c r="E58" t="inlineStr">
        <is>
          <t>Upon a successful Melee Attack, you may choose to sacrifice the Damage. If you do so, your opponent loses Momentum and cannot regain it, or make any Test with Advantage for any other reason, until the end of your next Turn.</t>
        </is>
      </c>
      <c r="F58" t="n">
        <v>118</v>
      </c>
    </row>
    <row r="59">
      <c r="A59" t="inlineStr">
        <is>
          <t>Doomed</t>
        </is>
      </c>
      <c r="B59" t="inlineStr">
        <is>
          <t>Doomed</t>
        </is>
      </c>
      <c r="C59" t="inlineStr">
        <is>
          <t>No</t>
        </is>
      </c>
      <c r="E59" t="inlineStr">
        <is>
          <t>During the incense-laden rite, a priest of Morr known as a doomsayer foretold the manner of your death. In conjunction with your GM, devise a suitable Doom.</t>
        </is>
      </c>
      <c r="F59" t="n">
        <v>118</v>
      </c>
    </row>
    <row r="60">
      <c r="A60" t="inlineStr">
        <is>
          <t>Drilled</t>
        </is>
      </c>
      <c r="B60" t="inlineStr">
        <is>
          <t>Drilled</t>
        </is>
      </c>
      <c r="C60" t="inlineStr">
        <is>
          <t>No</t>
        </is>
      </c>
      <c r="E60" t="inlineStr">
        <is>
          <t>Allies may freely Disengage from an opponent you are also Engaged with as you cover their retreat. Additionally, on your Turn you may lose Momentum in order to grant Momentum to any allies you are standing shoulder to shoulder with, so long as they also have this Talent.</t>
        </is>
      </c>
      <c r="F60" t="n">
        <v>119</v>
      </c>
    </row>
    <row r="61">
      <c r="A61" t="inlineStr">
        <is>
          <t>Dual Wielder</t>
        </is>
      </c>
      <c r="B61" t="inlineStr">
        <is>
          <t>Dual Wielder</t>
        </is>
      </c>
      <c r="C61" t="inlineStr">
        <is>
          <t>No</t>
        </is>
      </c>
      <c r="E61" t="inlineStr">
        <is>
          <t>You have a knack for fighting with a weapon in each hand. When fighting with two weapons (see page 167), you do not have to lose Momentum in order to make a free attack with a second weapon. Additionally, when fighting with two weapons, Daggers, Knives, and similar weapons you wield gain the Parry Quality.</t>
        </is>
      </c>
      <c r="F61" t="n">
        <v>119</v>
      </c>
    </row>
    <row r="62">
      <c r="A62" t="inlineStr">
        <is>
          <t>Embezzle</t>
        </is>
      </c>
      <c r="B62" t="inlineStr">
        <is>
          <t>Embezzle</t>
        </is>
      </c>
      <c r="C62" t="inlineStr">
        <is>
          <t>No</t>
        </is>
      </c>
      <c r="E62" t="inlineStr">
        <is>
          <t>When Earning during play or performing an Income Endeavour, you can embezzle funds, by using Bribery or Evaluate in place of your normal Earning Skill. If you do this, a successful Test indicates that you have doubled your money.</t>
        </is>
      </c>
      <c r="F62" t="n">
        <v>119</v>
      </c>
    </row>
    <row r="63">
      <c r="A63" t="inlineStr">
        <is>
          <t>Enclosed Fighter</t>
        </is>
      </c>
      <c r="B63" t="inlineStr">
        <is>
          <t>Enclosed Fighter</t>
        </is>
      </c>
      <c r="C63" t="inlineStr">
        <is>
          <t>No</t>
        </is>
      </c>
      <c r="E63" t="inlineStr">
        <is>
          <t>You have learned to make the most benefit out of fighting in enclosed spaces. You ignore penalties to Melee Tests caused by confined spaces such as tunnels, the frontline, small fighting pits, and similar. You can also use the Dodge Skill even if it would normally be disallowed due to lack of space.</t>
        </is>
      </c>
      <c r="F63" t="n">
        <v>119</v>
      </c>
    </row>
    <row r="64">
      <c r="A64" t="inlineStr">
        <is>
          <t>Etiquette (Criminals)</t>
        </is>
      </c>
      <c r="B64" t="inlineStr">
        <is>
          <t>Etiquette</t>
        </is>
      </c>
      <c r="C64" t="inlineStr">
        <is>
          <t>No</t>
        </is>
      </c>
      <c r="E64" t="inlineStr">
        <is>
          <t>You can blend in socially with the chosen group, so long as you are dressed and acting appropriately. Furthermore, the GM may warn your Character if they begin to indulge in behaviour considered inappropriate by the social group. Example social groups include: Criminals, Cultists, Guilders, Nobles, and Soldiers.</t>
        </is>
      </c>
      <c r="F64" t="n">
        <v>119</v>
      </c>
    </row>
    <row r="65">
      <c r="A65" t="inlineStr">
        <is>
          <t>Etiquette (Cultists)</t>
        </is>
      </c>
      <c r="B65" t="inlineStr">
        <is>
          <t>Etiquette</t>
        </is>
      </c>
      <c r="C65" t="inlineStr">
        <is>
          <t>No</t>
        </is>
      </c>
      <c r="E65" t="inlineStr">
        <is>
          <t>You can blend in socially with the chosen group, so long as you are dressed and acting appropriately. Furthermore, the GM may warn your Character if they begin to indulge in behaviour considered inappropriate by the social group. Example social groups include: Criminals, Cultists, Guilders, Nobles, and Soldiers.</t>
        </is>
      </c>
      <c r="F65" t="n">
        <v>119</v>
      </c>
    </row>
    <row r="66">
      <c r="A66" t="inlineStr">
        <is>
          <t>Etiquette (Guilder)</t>
        </is>
      </c>
      <c r="B66" t="inlineStr">
        <is>
          <t>Etiquette</t>
        </is>
      </c>
      <c r="C66" t="inlineStr">
        <is>
          <t>No</t>
        </is>
      </c>
      <c r="E66" t="inlineStr">
        <is>
          <t>You can blend in socially with the chosen group, so long as you are dressed and acting appropriately. Furthermore, the GM may warn your Character if they begin to indulge in behaviour considered inappropriate by the social group. Example social groups include: Criminals, Cultists, Guilders, Nobles, and Soldiers.</t>
        </is>
      </c>
      <c r="F66" t="n">
        <v>119</v>
      </c>
    </row>
    <row r="67">
      <c r="A67" t="inlineStr">
        <is>
          <t>Etiquette (Guilders)</t>
        </is>
      </c>
      <c r="B67" t="inlineStr">
        <is>
          <t>Etiquette</t>
        </is>
      </c>
      <c r="C67" t="inlineStr">
        <is>
          <t>No</t>
        </is>
      </c>
      <c r="E67" t="inlineStr">
        <is>
          <t>You can blend in socially with the chosen group, so long as you are dressed and acting appropriately. Furthermore, the GM may warn your Character if they begin to indulge in behaviour considered inappropriate by the social group. Example social groups include: Criminals, Cultists, Guilders, Nobles, and Soldiers.</t>
        </is>
      </c>
      <c r="F67" t="n">
        <v>119</v>
      </c>
    </row>
    <row r="68">
      <c r="A68" t="inlineStr">
        <is>
          <t>Etiquette (Nobles)</t>
        </is>
      </c>
      <c r="B68" t="inlineStr">
        <is>
          <t>Etiquette</t>
        </is>
      </c>
      <c r="C68" t="inlineStr">
        <is>
          <t>No</t>
        </is>
      </c>
      <c r="E68" t="inlineStr">
        <is>
          <t>You can blend in socially with the chosen group, so long as you are dressed and acting appropriately. Furthermore, the GM may warn your Character if they begin to indulge in behaviour considered inappropriate by the social group. Example social groups include: Criminals, Cultists, Guilders, Nobles, and Soldiers.</t>
        </is>
      </c>
      <c r="F68" t="n">
        <v>119</v>
      </c>
    </row>
    <row r="69">
      <c r="A69" t="inlineStr">
        <is>
          <t>Etiquette (Scholars)</t>
        </is>
      </c>
      <c r="B69" t="inlineStr">
        <is>
          <t>Etiquette</t>
        </is>
      </c>
      <c r="C69" t="inlineStr">
        <is>
          <t>No</t>
        </is>
      </c>
      <c r="E69" t="inlineStr">
        <is>
          <t>You can blend in socially with the chosen group, so long as you are dressed and acting appropriately. Furthermore, the GM may warn your Character if they begin to indulge in behaviour considered inappropriate by the social group. Example social groups include: Criminals, Cultists, Guilders, Nobles, and Soldiers.</t>
        </is>
      </c>
      <c r="F69" t="n">
        <v>119</v>
      </c>
    </row>
    <row r="70">
      <c r="A70" t="inlineStr">
        <is>
          <t>Etiquette (Servants)</t>
        </is>
      </c>
      <c r="B70" t="inlineStr">
        <is>
          <t>Etiquette</t>
        </is>
      </c>
      <c r="C70" t="inlineStr">
        <is>
          <t>No</t>
        </is>
      </c>
      <c r="E70" t="inlineStr">
        <is>
          <t>You can blend in socially with the chosen group, so long as you are dressed and acting appropriately. Furthermore, the GM may warn your Character if they begin to indulge in behaviour considered inappropriate by the social group. Example social groups include: Criminals, Cultists, Guilders, Nobles, and Soldiers.</t>
        </is>
      </c>
      <c r="F70" t="n">
        <v>119</v>
      </c>
    </row>
    <row r="71">
      <c r="A71" t="inlineStr">
        <is>
          <t>Etiquette (Social Group)</t>
        </is>
      </c>
      <c r="B71" t="inlineStr">
        <is>
          <t>Etiquette</t>
        </is>
      </c>
      <c r="C71" t="inlineStr">
        <is>
          <t>No</t>
        </is>
      </c>
      <c r="E71" t="inlineStr">
        <is>
          <t>You can blend in socially with the chosen group, so long as you are dressed and acting appropriately. Furthermore, the GM may warn your Character if they begin to indulge in behaviour considered inappropriate by the social group. Example social groups include: Criminals, Cultists, Guilders, Nobles, and Soldiers.</t>
        </is>
      </c>
      <c r="F71" t="n">
        <v>119</v>
      </c>
    </row>
    <row r="72">
      <c r="A72" t="inlineStr">
        <is>
          <t>Etiquette (Soldiers)</t>
        </is>
      </c>
      <c r="B72" t="inlineStr">
        <is>
          <t>Etiquette</t>
        </is>
      </c>
      <c r="C72" t="inlineStr">
        <is>
          <t>No</t>
        </is>
      </c>
      <c r="E72" t="inlineStr">
        <is>
          <t>You can blend in socially with the chosen group, so long as you are dressed and acting appropriately. Furthermore, the GM may warn your Character if they begin to indulge in behaviour considered inappropriate by the social group. Example social groups include: Criminals, Cultists, Guilders, Nobles, and Soldiers.</t>
        </is>
      </c>
      <c r="F72" t="n">
        <v>119</v>
      </c>
    </row>
    <row r="73">
      <c r="A73" t="inlineStr">
        <is>
          <t>Fast Hands</t>
        </is>
      </c>
      <c r="B73" t="inlineStr">
        <is>
          <t>Fast Hands</t>
        </is>
      </c>
      <c r="C73" t="inlineStr">
        <is>
          <t>No</t>
        </is>
      </c>
      <c r="E73" t="inlineStr">
        <is>
          <t>You can move your hands with surprising dexterity. You can use Sleight of Hand to entertain people by making small objects vanish or appear. You gain Advantage on Sleight of Hand Tests, as well as Melee (Brawling) Tests made to touch an opponent, such as those required by some spells.</t>
        </is>
      </c>
      <c r="F73" t="n">
        <v>119</v>
      </c>
    </row>
    <row r="74">
      <c r="A74" t="inlineStr">
        <is>
          <t>Fast Shot</t>
        </is>
      </c>
      <c r="B74" t="inlineStr">
        <is>
          <t>Fast Shot</t>
        </is>
      </c>
      <c r="C74" t="inlineStr">
        <is>
          <t>No</t>
        </is>
      </c>
      <c r="E74" t="inlineStr">
        <is>
          <t>If you are not Engaged, you may make a single attack with a loaded weapon with the Pistol Trait before the first turn of the Round. This attack uses your Action for the Round. If multiple Characters use Fast Shot, resolve their attacks in Combat Initiative order.</t>
        </is>
      </c>
      <c r="F74" t="n">
        <v>119</v>
      </c>
    </row>
    <row r="75">
      <c r="A75" t="inlineStr">
        <is>
          <t>Fearless (Beasts)</t>
        </is>
      </c>
      <c r="B75" t="inlineStr">
        <is>
          <t>Fearless</t>
        </is>
      </c>
      <c r="C75" t="inlineStr">
        <is>
          <t>Yes</t>
        </is>
      </c>
      <c r="E75" t="inlineStr">
        <is>
          <t>When you take this Talent, choose any enemy group, such as Giants, Skeletons, or Trolls. You are immune to fear from enemies in the chosen group. You may acquire this Talent more than once, choosing a new enemy group each time you do so.</t>
        </is>
      </c>
      <c r="F75" t="n">
        <v>119</v>
      </c>
    </row>
    <row r="76">
      <c r="A76" t="inlineStr">
        <is>
          <t>Fearless (Bounties)</t>
        </is>
      </c>
      <c r="B76" t="inlineStr">
        <is>
          <t>Fearless</t>
        </is>
      </c>
      <c r="C76" t="inlineStr">
        <is>
          <t>Yes</t>
        </is>
      </c>
      <c r="E76" t="inlineStr">
        <is>
          <t>When you take this Talent, choose any enemy group, such as Giants, Skeletons, or Trolls. You are immune to fear from enemies in the chosen group. You may acquire this Talent more than once, choosing a new enemy group each time you do so.</t>
        </is>
      </c>
      <c r="F76" t="n">
        <v>119</v>
      </c>
    </row>
    <row r="77">
      <c r="A77" t="inlineStr">
        <is>
          <t>Fearless (Criminals)</t>
        </is>
      </c>
      <c r="B77" t="inlineStr">
        <is>
          <t>Fearless</t>
        </is>
      </c>
      <c r="C77" t="inlineStr">
        <is>
          <t>Yes</t>
        </is>
      </c>
      <c r="E77" t="inlineStr">
        <is>
          <t>When you take this Talent, choose any enemy group, such as Giants, Skeletons, or Trolls. You are immune to fear from enemies in the chosen group. You may acquire this Talent more than once, choosing a new enemy group each time you do so.</t>
        </is>
      </c>
      <c r="F77" t="n">
        <v>119</v>
      </c>
    </row>
    <row r="78">
      <c r="A78" t="inlineStr">
        <is>
          <t>Fearless (Enemy)</t>
        </is>
      </c>
      <c r="B78" t="inlineStr">
        <is>
          <t>Fearless</t>
        </is>
      </c>
      <c r="C78" t="inlineStr">
        <is>
          <t>Yes</t>
        </is>
      </c>
      <c r="E78" t="inlineStr">
        <is>
          <t>When you take this Talent, choose any enemy group, such as Giants, Skeletons, or Trolls. You are immune to fear from enemies in the chosen group. You may acquire this Talent more than once, choosing a new enemy group each time you do so.</t>
        </is>
      </c>
      <c r="F78" t="n">
        <v>119</v>
      </c>
    </row>
    <row r="79">
      <c r="A79" t="inlineStr">
        <is>
          <t>Fearless (Everything)</t>
        </is>
      </c>
      <c r="B79" t="inlineStr">
        <is>
          <t>Fearless</t>
        </is>
      </c>
      <c r="C79" t="inlineStr">
        <is>
          <t>Yes</t>
        </is>
      </c>
      <c r="E79" t="inlineStr">
        <is>
          <t>When you take this Talent, choose any enemy group, such as Giants, Skeletons, or Trolls. You are immune to fear from enemies in the chosen group. You may acquire this Talent more than once, choosing a new enemy group each time you do so.</t>
        </is>
      </c>
      <c r="F79" t="n">
        <v>119</v>
      </c>
    </row>
    <row r="80">
      <c r="A80" t="inlineStr">
        <is>
          <t>Fearless (Intruders)</t>
        </is>
      </c>
      <c r="B80" t="inlineStr">
        <is>
          <t>Fearless</t>
        </is>
      </c>
      <c r="C80" t="inlineStr">
        <is>
          <t>Yes</t>
        </is>
      </c>
      <c r="E80" t="inlineStr">
        <is>
          <t>When you take this Talent, choose any enemy group, such as Giants, Skeletons, or Trolls. You are immune to fear from enemies in the chosen group. You may acquire this Talent more than once, choosing a new enemy group each time you do so.</t>
        </is>
      </c>
      <c r="F80" t="n">
        <v>119</v>
      </c>
    </row>
    <row r="81">
      <c r="A81" t="inlineStr">
        <is>
          <t>Fearless (Merchants)</t>
        </is>
      </c>
      <c r="B81" t="inlineStr">
        <is>
          <t>Fearless</t>
        </is>
      </c>
      <c r="C81" t="inlineStr">
        <is>
          <t>Yes</t>
        </is>
      </c>
      <c r="E81" t="inlineStr">
        <is>
          <t>When you take this Talent, choose any enemy group, such as Giants, Skeletons, or Trolls. You are immune to fear from enemies in the chosen group. You may acquire this Talent more than once, choosing a new enemy group each time you do so.</t>
        </is>
      </c>
      <c r="F81" t="n">
        <v>119</v>
      </c>
    </row>
    <row r="82">
      <c r="A82" t="inlineStr">
        <is>
          <t>Fearless (Outlaws)</t>
        </is>
      </c>
      <c r="B82" t="inlineStr">
        <is>
          <t>Fearless</t>
        </is>
      </c>
      <c r="C82" t="inlineStr">
        <is>
          <t>Yes</t>
        </is>
      </c>
      <c r="E82" t="inlineStr">
        <is>
          <t>When you take this Talent, choose any enemy group, such as Giants, Skeletons, or Trolls. You are immune to fear from enemies in the chosen group. You may acquire this Talent more than once, choosing a new enemy group each time you do so.</t>
        </is>
      </c>
      <c r="F82" t="n">
        <v>119</v>
      </c>
    </row>
    <row r="83">
      <c r="A83" t="inlineStr">
        <is>
          <t>Fearless (Paupers)</t>
        </is>
      </c>
      <c r="B83" t="inlineStr">
        <is>
          <t>Fearless</t>
        </is>
      </c>
      <c r="C83" t="inlineStr">
        <is>
          <t>Yes</t>
        </is>
      </c>
      <c r="E83" t="inlineStr">
        <is>
          <t>When you take this Talent, choose any enemy group, such as Giants, Skeletons, or Trolls. You are immune to fear from enemies in the chosen group. You may acquire this Talent more than once, choosing a new enemy group each time you do so.</t>
        </is>
      </c>
      <c r="F83" t="n">
        <v>119</v>
      </c>
    </row>
    <row r="84">
      <c r="A84" t="inlineStr">
        <is>
          <t>Fearless (Rats)</t>
        </is>
      </c>
      <c r="B84" t="inlineStr">
        <is>
          <t>Fearless</t>
        </is>
      </c>
      <c r="C84" t="inlineStr">
        <is>
          <t>Yes</t>
        </is>
      </c>
      <c r="E84" t="inlineStr">
        <is>
          <t>When you take this Talent, choose any enemy group, such as Giants, Skeletons, or Trolls. You are immune to fear from enemies in the chosen group. You may acquire this Talent more than once, choosing a new enemy group each time you do so.</t>
        </is>
      </c>
      <c r="F84" t="n">
        <v>119</v>
      </c>
    </row>
    <row r="85">
      <c r="A85" t="inlineStr">
        <is>
          <t>Fearless (Riverwardens)</t>
        </is>
      </c>
      <c r="B85" t="inlineStr">
        <is>
          <t>Fearless</t>
        </is>
      </c>
      <c r="C85" t="inlineStr">
        <is>
          <t>Yes</t>
        </is>
      </c>
      <c r="E85" t="inlineStr">
        <is>
          <t>When you take this Talent, choose any enemy group, such as Giants, Skeletons, or Trolls. You are immune to fear from enemies in the chosen group. You may acquire this Talent more than once, choosing a new enemy group each time you do so.</t>
        </is>
      </c>
      <c r="F85" t="n">
        <v>119</v>
      </c>
    </row>
    <row r="86">
      <c r="A86" t="inlineStr">
        <is>
          <t>Fearless (Roadwardens)</t>
        </is>
      </c>
      <c r="B86" t="inlineStr">
        <is>
          <t>Fearless</t>
        </is>
      </c>
      <c r="C86" t="inlineStr">
        <is>
          <t>Yes</t>
        </is>
      </c>
      <c r="E86" t="inlineStr">
        <is>
          <t>When you take this Talent, choose any enemy group, such as Giants, Skeletons, or Trolls. You are immune to fear from enemies in the chosen group. You may acquire this Talent more than once, choosing a new enemy group each time you do so.</t>
        </is>
      </c>
      <c r="F86" t="n">
        <v>119</v>
      </c>
    </row>
    <row r="87">
      <c r="A87" t="inlineStr">
        <is>
          <t>Fearless (Undead)</t>
        </is>
      </c>
      <c r="B87" t="inlineStr">
        <is>
          <t>Fearless</t>
        </is>
      </c>
      <c r="C87" t="inlineStr">
        <is>
          <t>Yes</t>
        </is>
      </c>
      <c r="E87" t="inlineStr">
        <is>
          <t>When you take this Talent, choose any enemy group, such as Giants, Skeletons, or Trolls. You are immune to fear from enemies in the chosen group. You may acquire this Talent more than once, choosing a new enemy group each time you do so.</t>
        </is>
      </c>
      <c r="F87" t="n">
        <v>119</v>
      </c>
    </row>
    <row r="88">
      <c r="A88" t="inlineStr">
        <is>
          <t>Fearless (Watchmen)</t>
        </is>
      </c>
      <c r="B88" t="inlineStr">
        <is>
          <t>Fearless</t>
        </is>
      </c>
      <c r="C88" t="inlineStr">
        <is>
          <t>Yes</t>
        </is>
      </c>
      <c r="E88" t="inlineStr">
        <is>
          <t>When you take this Talent, choose any enemy group, such as Giants, Skeletons, or Trolls. You are immune to fear from enemies in the chosen group. You may acquire this Talent more than once, choosing a new enemy group each time you do so.</t>
        </is>
      </c>
      <c r="F88" t="n">
        <v>119</v>
      </c>
    </row>
    <row r="89">
      <c r="A89" t="inlineStr">
        <is>
          <t>Fearless (Witches)</t>
        </is>
      </c>
      <c r="B89" t="inlineStr">
        <is>
          <t>Fearless</t>
        </is>
      </c>
      <c r="C89" t="inlineStr">
        <is>
          <t>Yes</t>
        </is>
      </c>
      <c r="E89" t="inlineStr">
        <is>
          <t>When you take this Talent, choose any enemy group, such as Giants, Skeletons, or Trolls. You are immune to fear from enemies in the chosen group. You may acquire this Talent more than once, choosing a new enemy group each time you do so.</t>
        </is>
      </c>
      <c r="F89" t="n">
        <v>119</v>
      </c>
    </row>
    <row r="90">
      <c r="A90" t="inlineStr">
        <is>
          <t>Fearless (Wreckers)</t>
        </is>
      </c>
      <c r="B90" t="inlineStr">
        <is>
          <t>Fearless</t>
        </is>
      </c>
      <c r="C90" t="inlineStr">
        <is>
          <t>Yes</t>
        </is>
      </c>
      <c r="E90" t="inlineStr">
        <is>
          <t>When you take this Talent, choose any enemy group, such as Giants, Skeletons, or Trolls. You are immune to fear from enemies in the chosen group. You may acquire this Talent more than once, choosing a new enemy group each time you do so.</t>
        </is>
      </c>
      <c r="F90" t="n">
        <v>119</v>
      </c>
    </row>
    <row r="91">
      <c r="A91" t="inlineStr">
        <is>
          <t>Feint</t>
        </is>
      </c>
      <c r="B91" t="inlineStr">
        <is>
          <t>Feint</t>
        </is>
      </c>
      <c r="C91" t="inlineStr">
        <is>
          <t>No</t>
        </is>
      </c>
      <c r="E91" t="inlineStr">
        <is>
          <t>You have trained how to make false attacks in close combat to fool your opponent. When attacking in melee, if you have Advantage and your opponent does not, you can force them to defend with Intuition instead of any other Skill or Characteristic.</t>
        </is>
      </c>
      <c r="F91" t="n">
        <v>119</v>
      </c>
    </row>
    <row r="92">
      <c r="A92" t="inlineStr">
        <is>
          <t>Field Dressing</t>
        </is>
      </c>
      <c r="B92" t="inlineStr">
        <is>
          <t>Field Dressing</t>
        </is>
      </c>
      <c r="C92" t="inlineStr">
        <is>
          <t>No</t>
        </is>
      </c>
      <c r="E92" t="inlineStr">
        <is>
          <t>You are used to treating wounds quickly with whatever suitable materials you can find at hand. You make Heal Tests with Advantage, and can easily create basic splints or bandages from ordinary materials.</t>
        </is>
      </c>
      <c r="F92" t="n">
        <v>119</v>
      </c>
    </row>
    <row r="93">
      <c r="A93" t="inlineStr">
        <is>
          <t>Fisherman</t>
        </is>
      </c>
      <c r="B93" t="inlineStr">
        <is>
          <t>Fisherman</t>
        </is>
      </c>
      <c r="C93" t="inlineStr">
        <is>
          <t>No</t>
        </is>
      </c>
      <c r="E93" t="inlineStr">
        <is>
          <t>Assuming a large enough body of water is available, and you have the right gear such as a rod or net, you are able to fish enough to feed yourself and a number of others equal to your Initiative Bonus. You may secure more fish in addition to this using the normal rules for foraging (see page 152).</t>
        </is>
      </c>
      <c r="F93" t="n">
        <v>119</v>
      </c>
    </row>
    <row r="94">
      <c r="A94" t="inlineStr">
        <is>
          <t>Flagellant</t>
        </is>
      </c>
      <c r="B94" t="inlineStr">
        <is>
          <t>Flagellant</t>
        </is>
      </c>
      <c r="C94" t="inlineStr">
        <is>
          <t>No</t>
        </is>
      </c>
      <c r="E94" t="inlineStr">
        <is>
          <t>You feel no pain and may ignore penalties inflicted by Critical Wounds, other than amputations. Additionally, if another ability or effect allows you to Frenzy (page 184), you may enter a Frenzy any time you suffer a Wound without requiring a Test.</t>
        </is>
      </c>
      <c r="F94" t="n">
        <v>119</v>
      </c>
    </row>
    <row r="95">
      <c r="A95" t="inlineStr">
        <is>
          <t>Flee!</t>
        </is>
      </c>
      <c r="B95" t="inlineStr">
        <is>
          <t>Flee!</t>
        </is>
      </c>
      <c r="C95" t="inlineStr">
        <is>
          <t>No</t>
        </is>
      </c>
      <c r="E95" t="inlineStr">
        <is>
          <t>When your life is on the line, you are capable of impressive bursts of speed. If you Disengage from combat, you may immediately make an extra Move to sprint away from your opponent. If you choose to Flee in combat (page 163), you do not gain any Broken Conditions. Tests as the Quarry in a Pursuit benefit from +1 SL.</t>
        </is>
      </c>
      <c r="F95" t="n">
        <v>120</v>
      </c>
    </row>
    <row r="96">
      <c r="A96" t="inlineStr">
        <is>
          <t>Fleet-footed</t>
        </is>
      </c>
      <c r="B96" t="inlineStr">
        <is>
          <t>Fleet-footed</t>
        </is>
      </c>
      <c r="C96" t="inlineStr">
        <is>
          <t>No</t>
        </is>
      </c>
      <c r="E96" t="inlineStr">
        <is>
          <t>You are unusually fast on your feet, and gain +1 to your Movement Attribute.</t>
        </is>
      </c>
      <c r="F96" t="n">
        <v>120</v>
      </c>
    </row>
    <row r="97">
      <c r="A97" t="inlineStr">
        <is>
          <t>Frenzy</t>
        </is>
      </c>
      <c r="B97" t="inlineStr">
        <is>
          <t>Frenzy</t>
        </is>
      </c>
      <c r="C97" t="inlineStr">
        <is>
          <t>No</t>
        </is>
      </c>
      <c r="E97" t="inlineStr">
        <is>
          <t>You have a deep well of fury inside you, which you can unleash upon your enemies. Making a successful Willpower Test lets you enter a Frenzy, allowing you to make additional attacks, ignore most psychological effects, and inflict additional Damage in melee. The full rules for Frenzy are described on page 184.</t>
        </is>
      </c>
      <c r="F97" t="n">
        <v>120</v>
      </c>
    </row>
    <row r="98">
      <c r="A98" t="inlineStr">
        <is>
          <t>Frightening</t>
        </is>
      </c>
      <c r="B98" t="inlineStr">
        <is>
          <t>Frightening</t>
        </is>
      </c>
      <c r="C98" t="inlineStr">
        <is>
          <t>No</t>
        </is>
      </c>
      <c r="E98" t="inlineStr">
        <is>
          <t>You gain the Fear Trait with a rating of 1, or 2 if you are Large (see page 360). Enemies must pass an Extended Psychology Test, requiring a number of successes equal to your Fear rating, with one Test made each turn. Until they do, they cannot gain Momentum, and you gain Advantage on Melee Attacks against them.</t>
        </is>
      </c>
      <c r="F98" t="n">
        <v>120</v>
      </c>
    </row>
    <row r="99">
      <c r="A99" t="inlineStr">
        <is>
          <t>Furious Assault</t>
        </is>
      </c>
      <c r="B99" t="inlineStr">
        <is>
          <t>Furious Assault</t>
        </is>
      </c>
      <c r="C99" t="inlineStr">
        <is>
          <t>No</t>
        </is>
      </c>
      <c r="E99" t="inlineStr">
        <is>
          <t>Your blows follow one another in quick succession, raining down on your opponents with the fury of Ulric. Once per Round, if you hit an opponent in melee, you may immediately lose Momentum to make an extra attack.</t>
        </is>
      </c>
      <c r="F99" t="n">
        <v>120</v>
      </c>
    </row>
    <row r="100">
      <c r="A100" t="inlineStr">
        <is>
          <t>Gregarious</t>
        </is>
      </c>
      <c r="B100" t="inlineStr">
        <is>
          <t>Gregarious</t>
        </is>
      </c>
      <c r="C100" t="inlineStr">
        <is>
          <t>No</t>
        </is>
      </c>
      <c r="E100" t="inlineStr">
        <is>
          <t>You just like talking to other folk, and it seems they like talking to you. You gain Advantage on any Gossip Tests you make, and can usually tell where in a settlement gossip is likely to be exchanged.</t>
        </is>
      </c>
      <c r="F100" t="n">
        <v>120</v>
      </c>
    </row>
    <row r="101">
      <c r="A101" t="inlineStr">
        <is>
          <t>Gunner</t>
        </is>
      </c>
      <c r="B101" t="inlineStr">
        <is>
          <t>Gunner</t>
        </is>
      </c>
      <c r="C101" t="inlineStr">
        <is>
          <t>No</t>
        </is>
      </c>
      <c r="E101" t="inlineStr">
        <is>
          <t>You are practised in the use of blackpowder weapons, and are able to lessen some of their more obvious dangers. When using a Blackpowder, Engineering, or Explosive weapon, you ignore the Dangerous Flaw.</t>
        </is>
      </c>
      <c r="F101" t="n">
        <v>120</v>
      </c>
    </row>
    <row r="102">
      <c r="A102" t="inlineStr">
        <is>
          <t>Hardy</t>
        </is>
      </c>
      <c r="B102" t="inlineStr">
        <is>
          <t>Hardy</t>
        </is>
      </c>
      <c r="C102" t="inlineStr">
        <is>
          <t>Yes</t>
        </is>
      </c>
      <c r="E102" t="inlineStr">
        <is>
          <t>When calculating your Wounds total, add your Toughness Bonus an additional time.</t>
        </is>
      </c>
      <c r="F102" t="n">
        <v>120</v>
      </c>
    </row>
    <row r="103">
      <c r="A103" t="inlineStr">
        <is>
          <t>Hatred (Group)</t>
        </is>
      </c>
      <c r="B103" t="inlineStr">
        <is>
          <t>Hatred</t>
        </is>
      </c>
      <c r="C103" t="inlineStr">
        <is>
          <t>No</t>
        </is>
      </c>
      <c r="E103" t="inlineStr">
        <is>
          <t>You develop Hatred for a group. When encountering the subject of your Hatred, you must attempt a Psychology Test or immediately attempt to destroy the hated group by the fastest and most deadly means possible.</t>
        </is>
      </c>
      <c r="F103" t="n">
        <v>120</v>
      </c>
    </row>
    <row r="104">
      <c r="A104" t="inlineStr">
        <is>
          <t>Hatred (Heretics)</t>
        </is>
      </c>
      <c r="B104" t="inlineStr">
        <is>
          <t>Hatred</t>
        </is>
      </c>
      <c r="C104" t="inlineStr">
        <is>
          <t>No</t>
        </is>
      </c>
      <c r="E104" t="inlineStr">
        <is>
          <t>You develop Hatred for a group. When encountering the subject of your Hatred, you must attempt a Psychology Test or immediately attempt to destroy the hated group by the fastest and most deadly means possible.</t>
        </is>
      </c>
      <c r="F104" t="n">
        <v>120</v>
      </c>
    </row>
    <row r="105">
      <c r="A105" t="inlineStr">
        <is>
          <t>Hatred (Outlaws)</t>
        </is>
      </c>
      <c r="B105" t="inlineStr">
        <is>
          <t>Hatred</t>
        </is>
      </c>
      <c r="C105" t="inlineStr">
        <is>
          <t>No</t>
        </is>
      </c>
      <c r="E105" t="inlineStr">
        <is>
          <t>You develop Hatred for a group. When encountering the subject of your Hatred, you must attempt a Psychology Test or immediately attempt to destroy the hated group by the fastest and most deadly means possible.</t>
        </is>
      </c>
      <c r="F105" t="n">
        <v>120</v>
      </c>
    </row>
    <row r="106">
      <c r="A106" t="inlineStr">
        <is>
          <t>Holy Hatred</t>
        </is>
      </c>
      <c r="B106" t="inlineStr">
        <is>
          <t>Holy Hatred</t>
        </is>
      </c>
      <c r="C106" t="inlineStr">
        <is>
          <t>No</t>
        </is>
      </c>
      <c r="E106" t="inlineStr">
        <is>
          <t>Your prayers drip with the hatred you feel for your blasphemous enemies. When causing Wounds with a Miracle, you may deal +2 Wounds.</t>
        </is>
      </c>
      <c r="F106" t="n">
        <v>120</v>
      </c>
    </row>
    <row r="107">
      <c r="A107" t="inlineStr">
        <is>
          <t>Holy Visions</t>
        </is>
      </c>
      <c r="B107" t="inlineStr">
        <is>
          <t>Holy Visions</t>
        </is>
      </c>
      <c r="C107" t="inlineStr">
        <is>
          <t>No</t>
        </is>
      </c>
      <c r="E107" t="inlineStr">
        <is>
          <t>You clearly see the great works of the gods all around you. You automatically know when you enter holy ground, can perceive Blessings, Miracles, and Chaos Magic Spells cast within your line of sight, and can sense divine power in an object with a touch.</t>
        </is>
      </c>
      <c r="F107" t="n">
        <v>120</v>
      </c>
    </row>
    <row r="108">
      <c r="A108" t="inlineStr">
        <is>
          <t>Hunter's Eye</t>
        </is>
      </c>
      <c r="B108" t="inlineStr">
        <is>
          <t>Hunter's Eye</t>
        </is>
      </c>
      <c r="C108" t="inlineStr">
        <is>
          <t>No</t>
        </is>
      </c>
      <c r="E108" t="inlineStr">
        <is>
          <t>When travelling through well-stocked lands, you are automatically assumed to be able to hunt down enough game to feed yourself and a number of others equal to your Initiative Bonus, so long as you have time and the correct equipment.</t>
        </is>
      </c>
      <c r="F108" t="n">
        <v>120</v>
      </c>
    </row>
    <row r="109">
      <c r="A109" t="inlineStr">
        <is>
          <t>Impassioned Zeal</t>
        </is>
      </c>
      <c r="B109" t="inlineStr">
        <is>
          <t>Impassioned Zeal</t>
        </is>
      </c>
      <c r="C109" t="inlineStr">
        <is>
          <t>No</t>
        </is>
      </c>
      <c r="E109" t="inlineStr">
        <is>
          <t>When you talk about your cause, your words fill with passion and fervent zeal. You gain Advantage on Charm Tests when speaking on these matters. You also find it hard to deny, or prevaricate about the cause, and suffer Disadvantage when lying about or denouncing the subject of your passions.</t>
        </is>
      </c>
      <c r="F109" t="n">
        <v>121</v>
      </c>
    </row>
    <row r="110">
      <c r="A110" t="inlineStr">
        <is>
          <t>Impassioned Zeal (Cause)</t>
        </is>
      </c>
      <c r="B110" t="inlineStr">
        <is>
          <t>Impassioned Zeal</t>
        </is>
      </c>
      <c r="C110" t="inlineStr">
        <is>
          <t>No</t>
        </is>
      </c>
      <c r="E110" t="inlineStr">
        <is>
          <t>When you talk about your cause, your words fill with passion and fervent zeal. You gain Advantage on Charm Tests when speaking on these matters. You also find it hard to deny, or prevaricate about the cause, and suffer Disadvantage when lying about or denouncing the subject of your passions.</t>
        </is>
      </c>
      <c r="F110" t="n">
        <v>121</v>
      </c>
    </row>
    <row r="111">
      <c r="A111" t="inlineStr">
        <is>
          <t>Implacable</t>
        </is>
      </c>
      <c r="B111" t="inlineStr">
        <is>
          <t>Implacable</t>
        </is>
      </c>
      <c r="C111" t="inlineStr">
        <is>
          <t>No</t>
        </is>
      </c>
      <c r="E111" t="inlineStr">
        <is>
          <t>It takes a lot to finish you off. Any time you would gain one or more Bleeding Conditions, you gain one less.</t>
        </is>
      </c>
      <c r="F111" t="n">
        <v>121</v>
      </c>
    </row>
    <row r="112">
      <c r="A112" t="inlineStr">
        <is>
          <t>In-fighter</t>
        </is>
      </c>
      <c r="B112" t="inlineStr">
        <is>
          <t>In-fighter</t>
        </is>
      </c>
      <c r="C112" t="inlineStr">
        <is>
          <t>No</t>
        </is>
      </c>
      <c r="E112" t="inlineStr">
        <is>
          <t>As your Action, you can perform an Opposed Melee Test to attempt to step inside your opponent's weapon length. The winner chooses if combat continues as normal or as ‘in-fighting'. During in-fighting, any weapon longer than Short counts as an Improvised Weapon.</t>
        </is>
      </c>
      <c r="F112" t="n">
        <v>121</v>
      </c>
    </row>
    <row r="113">
      <c r="A113" t="inlineStr">
        <is>
          <t>Inspiring</t>
        </is>
      </c>
      <c r="B113" t="inlineStr">
        <is>
          <t>Inspiring</t>
        </is>
      </c>
      <c r="C113" t="inlineStr">
        <is>
          <t>No</t>
        </is>
      </c>
      <c r="E113" t="inlineStr">
        <is>
          <t>Your rousing words and pleas can turn the tide of battle. You have Advantage when you make Leadership Tests in combat.</t>
        </is>
      </c>
      <c r="F113" t="n">
        <v>121</v>
      </c>
    </row>
    <row r="114">
      <c r="A114" t="inlineStr">
        <is>
          <t>Instinctive Diction</t>
        </is>
      </c>
      <c r="B114" t="inlineStr">
        <is>
          <t>Instinctive Diction</t>
        </is>
      </c>
      <c r="C114" t="inlineStr">
        <is>
          <t>No</t>
        </is>
      </c>
      <c r="E114" t="inlineStr">
        <is>
          <t>You instinctively understand Magick and are capable of articulating complex phrases rapidly and without error. If you are required to roll on the Minor Miscast Table, you may reduce the result by 20. If the final result is less than 01, then no Miscast occurs. If you generate a Major Miscast this Talent has no effect.</t>
        </is>
      </c>
      <c r="F114" t="n">
        <v>121</v>
      </c>
    </row>
    <row r="115">
      <c r="A115" t="inlineStr">
        <is>
          <t>Invoke (Deity)</t>
        </is>
      </c>
      <c r="B115" t="inlineStr">
        <is>
          <t>Invoke</t>
        </is>
      </c>
      <c r="C115" t="inlineStr">
        <is>
          <t>No</t>
        </is>
      </c>
      <c r="E115" t="inlineStr">
        <is>
          <t>Upon learning the Talent, you gain one Miracle of your choice from those available to your patron. You may now memorise additional Miracles from those available to your patron for the following cost in XP. Under normal circumstances, you may not learn more than one Invoke (Deity) Talent.</t>
        </is>
      </c>
      <c r="F115" t="n">
        <v>121</v>
      </c>
    </row>
    <row r="116">
      <c r="A116" t="inlineStr">
        <is>
          <t>Iron Jaw</t>
        </is>
      </c>
      <c r="B116" t="inlineStr">
        <is>
          <t>Iron Jaw</t>
        </is>
      </c>
      <c r="C116" t="inlineStr">
        <is>
          <t>No</t>
        </is>
      </c>
      <c r="E116" t="inlineStr">
        <is>
          <t>You are made of sturdy stuff and can weather even the strongest blows. The first time in an encounter you would gain one or more Stunned Conditions, you gain one less.</t>
        </is>
      </c>
      <c r="F116" t="n">
        <v>121</v>
      </c>
    </row>
    <row r="117">
      <c r="A117" t="inlineStr">
        <is>
          <t>Iron Will</t>
        </is>
      </c>
      <c r="B117" t="inlineStr">
        <is>
          <t>Iron Will</t>
        </is>
      </c>
      <c r="C117" t="inlineStr">
        <is>
          <t>No</t>
        </is>
      </c>
      <c r="E117" t="inlineStr">
        <is>
          <t>You possess an indomitable will, and resist willingly bowing down before another. You gain Advantage on Cool Tests made to resist the influence of others, be it through a Fellowship Test or magical means.</t>
        </is>
      </c>
      <c r="F117" t="n">
        <v>121</v>
      </c>
    </row>
    <row r="118">
      <c r="A118" t="inlineStr">
        <is>
          <t>Jump Up</t>
        </is>
      </c>
      <c r="B118" t="inlineStr">
        <is>
          <t>Jump Up</t>
        </is>
      </c>
      <c r="C118" t="inlineStr">
        <is>
          <t>No</t>
        </is>
      </c>
      <c r="E118" t="inlineStr">
        <is>
          <t>You move with grace and are hard to keep down. You gain Advantage when making a Perform (Acrobatics) Test to entertain or move quickly outside of combat. Whenever you suffer the Prone Condition, you may immediately attempt a Challenging (+0 SL) Athletics or Perform (Acrobatics) Test to spring back to your feet.</t>
        </is>
      </c>
      <c r="F118" t="n">
        <v>121</v>
      </c>
    </row>
    <row r="119">
      <c r="A119" t="inlineStr">
        <is>
          <t>Kingpin</t>
        </is>
      </c>
      <c r="B119" t="inlineStr">
        <is>
          <t>Kingpin</t>
        </is>
      </c>
      <c r="C119" t="inlineStr">
        <is>
          <t>No</t>
        </is>
      </c>
      <c r="E119" t="inlineStr">
        <is>
          <t>You have earned an air of respectability despite your nefarious ways. The Criminal Talent no longer makes law enforcers suspect you or prevents you from accessing certain Careers. Most other Criminals recognise you as someone to respect — unless they're well prepared and gunning for your position and status.</t>
        </is>
      </c>
      <c r="F119" t="n">
        <v>121</v>
      </c>
    </row>
    <row r="120">
      <c r="A120" t="inlineStr">
        <is>
          <t>Lightning Reflexes</t>
        </is>
      </c>
      <c r="B120" t="inlineStr">
        <is>
          <t>Lightning Reflexes</t>
        </is>
      </c>
      <c r="C120" t="inlineStr">
        <is>
          <t>No</t>
        </is>
      </c>
      <c r="D120" t="inlineStr">
        <is>
          <t>Ag</t>
        </is>
      </c>
      <c r="E120" t="inlineStr">
        <is>
          <t>Gain +5 Agility. This does not count toward Advances.</t>
        </is>
      </c>
      <c r="F120" t="n">
        <v>121</v>
      </c>
    </row>
    <row r="121">
      <c r="A121" t="inlineStr">
        <is>
          <t>Linguistics</t>
        </is>
      </c>
      <c r="B121" t="inlineStr">
        <is>
          <t>Linguistics</t>
        </is>
      </c>
      <c r="C121" t="inlineStr">
        <is>
          <t>No</t>
        </is>
      </c>
      <c r="E121" t="inlineStr">
        <is>
          <t>You gain Advantage on Language Tests. Additionally, Advances in any Language Specialisations always cost 50 XP, no matter how many Advances you have already taken. This Talent applies only to languages used for true communication — its effects do not apply to Language (Magick).</t>
        </is>
      </c>
      <c r="F121" t="n">
        <v>121</v>
      </c>
    </row>
    <row r="122">
      <c r="A122" t="inlineStr">
        <is>
          <t>Lip Reading</t>
        </is>
      </c>
      <c r="B122" t="inlineStr">
        <is>
          <t>Lip Reading</t>
        </is>
      </c>
      <c r="C122" t="inlineStr">
        <is>
          <t>No</t>
        </is>
      </c>
      <c r="E122" t="inlineStr">
        <is>
          <t>You can work out what people are saying by watching their lips move. If you have an unobstructed view of the speaker's mouth, you can attempt a Challenging (+0 SL) Intuition Test to understand what they are saying.</t>
        </is>
      </c>
      <c r="F122" t="n">
        <v>122</v>
      </c>
    </row>
    <row r="123">
      <c r="A123" t="inlineStr">
        <is>
          <t>Luck</t>
        </is>
      </c>
      <c r="B123" t="inlineStr">
        <is>
          <t>Luck</t>
        </is>
      </c>
      <c r="C123" t="inlineStr">
        <is>
          <t>No</t>
        </is>
      </c>
      <c r="E123" t="inlineStr">
        <is>
          <t>They say when you were born, Ranald smiled. You gain +1 maximum Fortune. If you wish, you may purchase this Talent up to three times, for a maximum of +3 Fortune.</t>
        </is>
      </c>
      <c r="F123" t="n">
        <v>122</v>
      </c>
    </row>
    <row r="124">
      <c r="A124" t="inlineStr">
        <is>
          <t>Magic Resistance</t>
        </is>
      </c>
      <c r="B124" t="inlineStr">
        <is>
          <t>Magic Resistance</t>
        </is>
      </c>
      <c r="C124" t="inlineStr">
        <is>
          <t>No</t>
        </is>
      </c>
      <c r="E124" t="inlineStr">
        <is>
          <t>You are resistant to magic. The SL of any Spell that would affect you is reduced by 3. Furthermore, if you have this Talent, you may never learn the Channelling Skill or the Arcane Magic, Bless, Chaos Magic, Invoke, Petty Magic, or Witch! Talents, and vice versa.</t>
        </is>
      </c>
      <c r="F124" t="n">
        <v>122</v>
      </c>
    </row>
    <row r="125">
      <c r="A125" t="inlineStr">
        <is>
          <t>Magical Sense</t>
        </is>
      </c>
      <c r="B125" t="inlineStr">
        <is>
          <t>Magical Sense</t>
        </is>
      </c>
      <c r="C125" t="inlineStr">
        <is>
          <t>No</t>
        </is>
      </c>
      <c r="E125" t="inlineStr">
        <is>
          <t>You immediately become aware of any spellcasting within your Perception in yards, although you cannot discern the nature of the magic and can tell only the rough direction of the source.</t>
        </is>
      </c>
      <c r="F125" t="n">
        <v>122</v>
      </c>
    </row>
    <row r="126">
      <c r="A126" t="inlineStr">
        <is>
          <t>Magnum Opus</t>
        </is>
      </c>
      <c r="B126" t="inlineStr">
        <is>
          <t>Magnum Opus</t>
        </is>
      </c>
      <c r="C126" t="inlineStr">
        <is>
          <t>Yes</t>
        </is>
      </c>
      <c r="E126" t="inlineStr">
        <is>
          <t>When you take this Talent, you may create a single, extraordinary work of art with one of your Art or Trade Skills.</t>
        </is>
      </c>
      <c r="F126" t="n">
        <v>122</v>
      </c>
    </row>
    <row r="127">
      <c r="A127" t="inlineStr">
        <is>
          <t>Marksman</t>
        </is>
      </c>
      <c r="B127" t="inlineStr">
        <is>
          <t>Marksman</t>
        </is>
      </c>
      <c r="C127" t="inlineStr">
        <is>
          <t>No</t>
        </is>
      </c>
      <c r="D127" t="inlineStr">
        <is>
          <t>BS</t>
        </is>
      </c>
      <c r="E127" t="inlineStr">
        <is>
          <t>Gain +5 Ballistic Skill. This does not count toward Advances.</t>
        </is>
      </c>
      <c r="F127" t="n">
        <v>122</v>
      </c>
    </row>
    <row r="128">
      <c r="A128" t="inlineStr">
        <is>
          <t>Master of Disguise</t>
        </is>
      </c>
      <c r="B128" t="inlineStr">
        <is>
          <t>Master of Disguise</t>
        </is>
      </c>
      <c r="C128" t="inlineStr">
        <is>
          <t>No</t>
        </is>
      </c>
      <c r="E128" t="inlineStr">
        <is>
          <t>With nothing but posture changes, face twisting, and careful use of appropriate clothing, you no longer look like yourself. Furthermore, when you successfully use the Entertain (Acting) Skill, you can choose to either use your rolled SL, or the number rolled on your units die.</t>
        </is>
      </c>
      <c r="F128" t="n">
        <v>122</v>
      </c>
    </row>
    <row r="129">
      <c r="A129" t="inlineStr">
        <is>
          <t>Master Orator</t>
        </is>
      </c>
      <c r="B129" t="inlineStr">
        <is>
          <t>Master Orator</t>
        </is>
      </c>
      <c r="C129" t="inlineStr">
        <is>
          <t>No</t>
        </is>
      </c>
      <c r="E129" t="inlineStr">
        <is>
          <t>You gain Advantage on Lore (Law) Tests made to argue a case before a magistrate, or similar Lore Tests made to argue an academic, theological, or political point before a crowd.</t>
        </is>
      </c>
      <c r="F129" t="n">
        <v>122</v>
      </c>
    </row>
    <row r="130">
      <c r="A130" t="inlineStr">
        <is>
          <t>Master Tradesman (Apothecary)</t>
        </is>
      </c>
      <c r="B130" t="inlineStr">
        <is>
          <t>Master Tradesman</t>
        </is>
      </c>
      <c r="C130" t="inlineStr">
        <is>
          <t>Yes</t>
        </is>
      </c>
      <c r="E130" t="inlineStr">
        <is>
          <t>You are a skilled and reliable artisan. When you take this Talent, choose a Trade Specialisation. When you successfully use this Skill, you can choose to either use your rolled SL, or the number rolled on your units die. You may take this Talent more than once, choosing a new Trade Specialisation each time you do.</t>
        </is>
      </c>
      <c r="F130" t="n">
        <v>122</v>
      </c>
    </row>
    <row r="131">
      <c r="A131" t="inlineStr">
        <is>
          <t>Master Tradesman (Boatbuilder)</t>
        </is>
      </c>
      <c r="B131" t="inlineStr">
        <is>
          <t>Master Tradesman</t>
        </is>
      </c>
      <c r="C131" t="inlineStr">
        <is>
          <t>Yes</t>
        </is>
      </c>
      <c r="E131" t="inlineStr">
        <is>
          <t>You are a skilled and reliable artisan. When you take this Talent, choose a Trade Specialisation. When you successfully use this Skill, you can choose to either use your rolled SL, or the number rolled on your units die. You may take this Talent more than once, choosing a new Trade Specialisation each time you do.</t>
        </is>
      </c>
      <c r="F131" t="n">
        <v>122</v>
      </c>
    </row>
    <row r="132">
      <c r="A132" t="inlineStr">
        <is>
          <t>Master Tradesman (Engineer)</t>
        </is>
      </c>
      <c r="B132" t="inlineStr">
        <is>
          <t>Master Tradesman</t>
        </is>
      </c>
      <c r="C132" t="inlineStr">
        <is>
          <t>Yes</t>
        </is>
      </c>
      <c r="E132" t="inlineStr">
        <is>
          <t>You are a skilled and reliable artisan. When you take this Talent, choose a Trade Specialisation. When you successfully use this Skill, you can choose to either use your rolled SL, or the number rolled on your units die. You may take this Talent more than once, choosing a new Trade Specialisation each time you do.</t>
        </is>
      </c>
      <c r="F132" t="n">
        <v>122</v>
      </c>
    </row>
    <row r="133">
      <c r="A133" t="inlineStr">
        <is>
          <t>Master Tradesman (Herbalist)</t>
        </is>
      </c>
      <c r="B133" t="inlineStr">
        <is>
          <t>Master Tradesman</t>
        </is>
      </c>
      <c r="C133" t="inlineStr">
        <is>
          <t>Yes</t>
        </is>
      </c>
      <c r="E133" t="inlineStr">
        <is>
          <t>You are a skilled and reliable artisan. When you take this Talent, choose a Trade Specialisation. When you successfully use this Skill, you can choose to either use your rolled SL, or the number rolled on your units die. You may take this Talent more than once, choosing a new Trade Specialisation each time you do.</t>
        </is>
      </c>
      <c r="F133" t="n">
        <v>122</v>
      </c>
    </row>
    <row r="134">
      <c r="A134" t="inlineStr">
        <is>
          <t>Master Tradesman (Trade)</t>
        </is>
      </c>
      <c r="B134" t="inlineStr">
        <is>
          <t>Master Tradesman</t>
        </is>
      </c>
      <c r="C134" t="inlineStr">
        <is>
          <t>Yes</t>
        </is>
      </c>
      <c r="E134" t="inlineStr">
        <is>
          <t>You are a skilled and reliable artisan. When you take this Talent, choose a Trade Specialisation. When you successfully use this Skill, you can choose to either use your rolled SL, or the number rolled on your units die. You may take this Talent more than once, choosing a new Trade Specialisation each time you do.</t>
        </is>
      </c>
      <c r="F134" t="n">
        <v>122</v>
      </c>
    </row>
    <row r="135">
      <c r="A135" t="inlineStr">
        <is>
          <t>Menacing</t>
        </is>
      </c>
      <c r="B135" t="inlineStr">
        <is>
          <t>Menacing</t>
        </is>
      </c>
      <c r="C135" t="inlineStr">
        <is>
          <t>No</t>
        </is>
      </c>
      <c r="E135" t="inlineStr">
        <is>
          <t>You have an imposing presence, and most people know to steer clear of you. You gain Advantage on Intimidation Tests, and most sensible thieves, bandits, and pickpockets will choose another target as long as one is available.</t>
        </is>
      </c>
      <c r="F135" t="n">
        <v>122</v>
      </c>
    </row>
    <row r="136">
      <c r="A136" t="inlineStr">
        <is>
          <t>Mimic</t>
        </is>
      </c>
      <c r="B136" t="inlineStr">
        <is>
          <t>Mimic</t>
        </is>
      </c>
      <c r="C136" t="inlineStr">
        <is>
          <t>No</t>
        </is>
      </c>
      <c r="E136" t="inlineStr">
        <is>
          <t>You gain Advantage on Entertain (Acting, Comedy) and Perform (Clowning) Tests. Additionally, you may replicate any accent you are exposed to for at least a day, which may help with dealing with locals in an area at the GM's discretion.</t>
        </is>
      </c>
      <c r="F136" t="n">
        <v>122</v>
      </c>
    </row>
    <row r="137">
      <c r="A137" t="inlineStr">
        <is>
          <t>Night Vision</t>
        </is>
      </c>
      <c r="B137" t="inlineStr">
        <is>
          <t>Night Vision</t>
        </is>
      </c>
      <c r="C137" t="inlineStr">
        <is>
          <t>No</t>
        </is>
      </c>
      <c r="E137" t="inlineStr">
        <is>
          <t>Assuming you have at least a faint source of light (such as moonlight obscured by a Marienburg fog, the glowing eyes of a wight, or a bioluminescent fungus) you can see clearly for 20 yards and can extend the effective illumination distance of any light sources by a further 20 yards.</t>
        </is>
      </c>
      <c r="F137" t="n">
        <v>123</v>
      </c>
    </row>
    <row r="138">
      <c r="A138" t="inlineStr">
        <is>
          <t>Nimble-fingered</t>
        </is>
      </c>
      <c r="B138" t="inlineStr">
        <is>
          <t>Nimble-fingered</t>
        </is>
      </c>
      <c r="C138" t="inlineStr">
        <is>
          <t>No</t>
        </is>
      </c>
      <c r="D138" t="inlineStr">
        <is>
          <t>Dex</t>
        </is>
      </c>
      <c r="E138" t="inlineStr">
        <is>
          <t>Gain +5 Dexterity. This does not count toward Advances.</t>
        </is>
      </c>
      <c r="F138" t="n">
        <v>123</v>
      </c>
    </row>
    <row r="139">
      <c r="A139" t="inlineStr">
        <is>
          <t>Noble Blood</t>
        </is>
      </c>
      <c r="B139" t="inlineStr">
        <is>
          <t>Noble Blood</t>
        </is>
      </c>
      <c r="C139" t="inlineStr">
        <is>
          <t>No</t>
        </is>
      </c>
      <c r="E139" t="inlineStr">
        <is>
          <t>Assuming you are dressed appropriately, you are always considered to be at least one Status Tier higher than others unless they also have the Noble Blood Talent, where Status is compared as normal. Furthermore, you may enter the Noble Career as if it were within the same Class as your current Career.</t>
        </is>
      </c>
      <c r="F139" t="n">
        <v>123</v>
      </c>
    </row>
    <row r="140">
      <c r="A140" t="inlineStr">
        <is>
          <t>Nose for Trouble</t>
        </is>
      </c>
      <c r="B140" t="inlineStr">
        <is>
          <t>Nose for Trouble</t>
        </is>
      </c>
      <c r="C140" t="inlineStr">
        <is>
          <t>No</t>
        </is>
      </c>
      <c r="E140" t="inlineStr">
        <is>
          <t>You are used to getting into, and preferably out of, trouble. You gain Advantage on Intuition Tests, and can usually tell where in a town or village you can find the opportunity to gamble, fight, or get stinking drunk.</t>
        </is>
      </c>
      <c r="F140" t="n">
        <v>123</v>
      </c>
    </row>
    <row r="141">
      <c r="A141" t="inlineStr">
        <is>
          <t>Numismatics</t>
        </is>
      </c>
      <c r="B141" t="inlineStr">
        <is>
          <t>Numismatics</t>
        </is>
      </c>
      <c r="C141" t="inlineStr">
        <is>
          <t>No</t>
        </is>
      </c>
      <c r="E141" t="inlineStr">
        <is>
          <t>You gain Advantage on Lore (Heraldry) Tests to identify the providence of any coin, medal, or flag. When you successfully make an Evaluate Test to determine the value of an item, you may use either the rolled SL or the value of your units die.</t>
        </is>
      </c>
      <c r="F141" t="n">
        <v>123</v>
      </c>
    </row>
    <row r="142">
      <c r="A142" t="inlineStr">
        <is>
          <t>Old Salt</t>
        </is>
      </c>
      <c r="B142" t="inlineStr">
        <is>
          <t>Old Salt</t>
        </is>
      </c>
      <c r="C142" t="inlineStr">
        <is>
          <t>No</t>
        </is>
      </c>
      <c r="E142" t="inlineStr">
        <is>
          <t>You are an experienced seaman and are very used to sea life. When you successfully use the Row or Sail Skill on the ocean, you can choose to either use your rolled SL, or the number rolled on your units die. You count as two boatmen towards the minimum number of crew to pilot an ocean-going vessel.</t>
        </is>
      </c>
      <c r="F142" t="n">
        <v>123</v>
      </c>
    </row>
    <row r="143">
      <c r="A143" t="inlineStr">
        <is>
          <t>Orientation</t>
        </is>
      </c>
      <c r="B143" t="inlineStr">
        <is>
          <t>Orientation</t>
        </is>
      </c>
      <c r="C143" t="inlineStr">
        <is>
          <t>No</t>
        </is>
      </c>
      <c r="E143" t="inlineStr">
        <is>
          <t>You have an instinctive sense of direction. You gain Advantage on Navigation Tests. You also automatically know which direction is north with a glimpse at the stars, trees, or whatever other signs you are familiar with.</t>
        </is>
      </c>
      <c r="F143" t="n">
        <v>123</v>
      </c>
    </row>
    <row r="144">
      <c r="A144" t="inlineStr">
        <is>
          <t>Panhandle</t>
        </is>
      </c>
      <c r="B144" t="inlineStr">
        <is>
          <t>Panhandle</t>
        </is>
      </c>
      <c r="C144" t="inlineStr">
        <is>
          <t>No</t>
        </is>
      </c>
      <c r="E144" t="inlineStr">
        <is>
          <t>You gain Advantage on Charm Tests while begging, including those made during an Income Endeavour. Additionally, you can usually find the best places to find shelter for a safe but uncomfortable night's sleep beneath bridges, near middens, and in other urban locations most folks choose to ignore.</t>
        </is>
      </c>
      <c r="F144" t="n">
        <v>123</v>
      </c>
    </row>
    <row r="145">
      <c r="A145" t="inlineStr">
        <is>
          <t>Perfect Pitch</t>
        </is>
      </c>
      <c r="B145" t="inlineStr">
        <is>
          <t>Perfect Pitch</t>
        </is>
      </c>
      <c r="C145" t="inlineStr">
        <is>
          <t>No</t>
        </is>
      </c>
      <c r="E145" t="inlineStr">
        <is>
          <t>You have perfect pitch, able to replicate notes perfectly. You can learn a piece of music simply by listening to it once, and gain Advantage on Entertain (Singing) and Play (Any) Tests.</t>
        </is>
      </c>
      <c r="F145" t="n">
        <v>123</v>
      </c>
    </row>
    <row r="146">
      <c r="A146" t="inlineStr">
        <is>
          <t>Petty Magic</t>
        </is>
      </c>
      <c r="B146" t="inlineStr">
        <is>
          <t>Petty Magic</t>
        </is>
      </c>
      <c r="C146" t="inlineStr">
        <is>
          <t>No</t>
        </is>
      </c>
      <c r="E146" t="inlineStr">
        <is>
          <t>Upon learning the Talent, you manifest a number of Spells equal to your Willpower Bonus. You can learn additional Petty Magic Spells for the following cost in XP. Full rules for learning new Spells are provided in Chapter 8: Magic.</t>
        </is>
      </c>
      <c r="F146" t="n">
        <v>123</v>
      </c>
    </row>
    <row r="147">
      <c r="A147" t="inlineStr">
        <is>
          <t>Pharmacist</t>
        </is>
      </c>
      <c r="B147" t="inlineStr">
        <is>
          <t>Pharmacist</t>
        </is>
      </c>
      <c r="C147" t="inlineStr">
        <is>
          <t>No</t>
        </is>
      </c>
      <c r="E147" t="inlineStr">
        <is>
          <t>You are highly skilled at pharmacy, better able than most to make pills, unguents, oils, creams, and more. When creating an alchemical remedy (see page 154), you produce an additional dose.</t>
        </is>
      </c>
      <c r="F147" t="n">
        <v>124</v>
      </c>
    </row>
    <row r="148">
      <c r="A148" t="inlineStr">
        <is>
          <t>Pilot</t>
        </is>
      </c>
      <c r="B148" t="inlineStr">
        <is>
          <t>Pilot</t>
        </is>
      </c>
      <c r="C148" t="inlineStr">
        <is>
          <t>No</t>
        </is>
      </c>
      <c r="E148" t="inlineStr">
        <is>
          <t>You are skilled at leading vessels through dangerous waters, high winds, or when making haste to escape pirates or wreckers. Gain Advantage on Row and Sail Tests.</t>
        </is>
      </c>
      <c r="F148" t="n">
        <v>124</v>
      </c>
    </row>
    <row r="149">
      <c r="A149" t="inlineStr">
        <is>
          <t>Public Speaker</t>
        </is>
      </c>
      <c r="B149" t="inlineStr">
        <is>
          <t>Public Speaker</t>
        </is>
      </c>
      <c r="C149" t="inlineStr">
        <is>
          <t>No</t>
        </is>
      </c>
      <c r="E149" t="inlineStr">
        <is>
          <t>You know how to gather a crowd with ease and can usually gauge the mood of a group and what might motivate them to take action. You gain Advantage on Charm Tests made to influence groups of people.</t>
        </is>
      </c>
      <c r="F149" t="n">
        <v>124</v>
      </c>
    </row>
    <row r="150">
      <c r="A150" t="inlineStr">
        <is>
          <t>Pure Soul</t>
        </is>
      </c>
      <c r="B150" t="inlineStr">
        <is>
          <t>Pure Soul</t>
        </is>
      </c>
      <c r="C150" t="inlineStr">
        <is>
          <t>No</t>
        </is>
      </c>
      <c r="E150" t="inlineStr">
        <is>
          <t>Your soul is pure, quite resistant to the depredations of Chaos. You may gain double the usual number of Corruption Points before having to Test to resist mutation (see page 188).</t>
        </is>
      </c>
      <c r="F150" t="n">
        <v>124</v>
      </c>
    </row>
    <row r="151">
      <c r="A151" t="inlineStr">
        <is>
          <t>Rapid Reload</t>
        </is>
      </c>
      <c r="B151" t="inlineStr">
        <is>
          <t>Rapid Reload</t>
        </is>
      </c>
      <c r="C151" t="inlineStr">
        <is>
          <t>No</t>
        </is>
      </c>
      <c r="E151" t="inlineStr">
        <is>
          <t>You reload ranged weapons with practised ease. When using a weapon with the Reload Flaw, reduce the number of the Reload Flaw by 1.</t>
        </is>
      </c>
      <c r="F151" t="n">
        <v>124</v>
      </c>
    </row>
    <row r="152">
      <c r="A152" t="inlineStr">
        <is>
          <t>Reaction Strike</t>
        </is>
      </c>
      <c r="B152" t="inlineStr">
        <is>
          <t>Reaction Strike</t>
        </is>
      </c>
      <c r="C152" t="inlineStr">
        <is>
          <t>No</t>
        </is>
      </c>
      <c r="E152" t="inlineStr">
        <is>
          <t>When you are Charged, you may attempt a Challenging (+0 SL) Initiative Test to gain an immediate free attack against that charger outside the normal Turn sequence. This attack is resolved with whatever weapon you are carrying in your primary hand. You can only make one free attack this way each round.</t>
        </is>
      </c>
      <c r="F152" t="n">
        <v>124</v>
      </c>
    </row>
    <row r="153">
      <c r="A153" t="inlineStr">
        <is>
          <t>Read/Write</t>
        </is>
      </c>
      <c r="B153" t="inlineStr">
        <is>
          <t>Read/Write</t>
        </is>
      </c>
      <c r="C153" t="inlineStr">
        <is>
          <t>No</t>
        </is>
      </c>
      <c r="E153" t="inlineStr">
        <is>
          <t>The written word remains a mystery to most denizens of the Empire, but you have learned your letters and can read and write in any language you can speak.</t>
        </is>
      </c>
      <c r="F153" t="n">
        <v>124</v>
      </c>
    </row>
    <row r="154">
      <c r="A154" t="inlineStr">
        <is>
          <t>Relentless</t>
        </is>
      </c>
      <c r="B154" t="inlineStr">
        <is>
          <t>Relentless</t>
        </is>
      </c>
      <c r="C154" t="inlineStr">
        <is>
          <t>No</t>
        </is>
      </c>
      <c r="E154" t="inlineStr">
        <is>
          <t>If an opponent Disengages from you, you can attempt a Challenging (+0 SL) Athletics, Drive, or Ride Test after their Turn ends. A success provides an extra Move to chase after them and lets you freely Disengage from all other opponents to do so. Further, any Tests to chase as a Pursuer in a Pursuit benefit from +1 SL.</t>
        </is>
      </c>
      <c r="F154" t="n">
        <v>124</v>
      </c>
    </row>
    <row r="155">
      <c r="A155" t="inlineStr">
        <is>
          <t>Resistant (Chaos)</t>
        </is>
      </c>
      <c r="B155" t="inlineStr">
        <is>
          <t>Resistant</t>
        </is>
      </c>
      <c r="C155" t="inlineStr">
        <is>
          <t>Yes</t>
        </is>
      </c>
      <c r="E155" t="inlineStr">
        <is>
          <t>Once per session, before rolling a Test to resist a specific Threat (such as Disease, Magic, Corruption, Poison), you may choose to automatically pass that Test. You gain Advantage on all further Tests to resist that threat. You may take this Talent more than once, picking a new Threat each time.</t>
        </is>
      </c>
      <c r="F155" t="n">
        <v>124</v>
      </c>
    </row>
    <row r="156">
      <c r="A156" t="inlineStr">
        <is>
          <t>Resistant (Disease)</t>
        </is>
      </c>
      <c r="B156" t="inlineStr">
        <is>
          <t>Resistant</t>
        </is>
      </c>
      <c r="C156" t="inlineStr">
        <is>
          <t>Yes</t>
        </is>
      </c>
      <c r="E156" t="inlineStr">
        <is>
          <t>Once per session, before rolling a Test to resist a specific Threat (such as Disease, Magic, Corruption, Poison), you may choose to automatically pass that Test. You gain Advantage on all further Tests to resist that threat. You may take this Talent more than once, picking a new Threat each time.</t>
        </is>
      </c>
      <c r="F156" t="n">
        <v>124</v>
      </c>
    </row>
    <row r="157">
      <c r="A157" t="inlineStr">
        <is>
          <t>Resistant (Poison)</t>
        </is>
      </c>
      <c r="B157" t="inlineStr">
        <is>
          <t>Resistant</t>
        </is>
      </c>
      <c r="C157" t="inlineStr">
        <is>
          <t>Yes</t>
        </is>
      </c>
      <c r="E157" t="inlineStr">
        <is>
          <t>Once per session, before rolling a Test to resist a specific Threat (such as Disease, Magic, Corruption, Poison), you may choose to automatically pass that Test. You gain Advantage on all further Tests to resist that threat. You may take this Talent more than once, picking a new Threat each time.</t>
        </is>
      </c>
      <c r="F157" t="n">
        <v>124</v>
      </c>
    </row>
    <row r="158">
      <c r="A158" t="inlineStr">
        <is>
          <t>Resistant (Threat)</t>
        </is>
      </c>
      <c r="B158" t="inlineStr">
        <is>
          <t>Resistant</t>
        </is>
      </c>
      <c r="C158" t="inlineStr">
        <is>
          <t>Yes</t>
        </is>
      </c>
      <c r="E158" t="inlineStr">
        <is>
          <t>Once per session, before rolling a Test to resist a specific Threat (such as Disease, Magic, Corruption, Poison), you may choose to automatically pass that Test. You gain Advantage on all further Tests to resist that threat. You may take this Talent more than once, picking a new Threat each time.</t>
        </is>
      </c>
      <c r="F158" t="n">
        <v>124</v>
      </c>
    </row>
    <row r="159">
      <c r="A159" t="inlineStr">
        <is>
          <t>Resolute</t>
        </is>
      </c>
      <c r="B159" t="inlineStr">
        <is>
          <t>Resolute</t>
        </is>
      </c>
      <c r="C159" t="inlineStr">
        <is>
          <t>No</t>
        </is>
      </c>
      <c r="E159" t="inlineStr">
        <is>
          <t>You stand firm in the face of danger with grim determination. When you gain a Condition, you may retain your Momentum if you pass a Challenging (+0 SL) Cool Test.</t>
        </is>
      </c>
      <c r="F159" t="n">
        <v>124</v>
      </c>
    </row>
    <row r="160">
      <c r="A160" t="inlineStr">
        <is>
          <t>Reversal</t>
        </is>
      </c>
      <c r="B160" t="inlineStr">
        <is>
          <t>Reversal</t>
        </is>
      </c>
      <c r="C160" t="inlineStr">
        <is>
          <t>No</t>
        </is>
      </c>
      <c r="E160" t="inlineStr">
        <is>
          <t>You are used to desperate combats, able to find opportunities to gain an edge in dire circumstances. In an Opposed Melee Test where you are struck but your Test succeeded, you retain Momentum.</t>
        </is>
      </c>
      <c r="F160" t="n">
        <v>124</v>
      </c>
    </row>
    <row r="161">
      <c r="A161" t="inlineStr">
        <is>
          <t>Riposte</t>
        </is>
      </c>
      <c r="B161" t="inlineStr">
        <is>
          <t>Riposte</t>
        </is>
      </c>
      <c r="C161" t="inlineStr">
        <is>
          <t>No</t>
        </is>
      </c>
      <c r="E161" t="inlineStr">
        <is>
          <t>Conforming to ‘the best defence is offence', you respond to an incoming attack with a counterstrike of your own. If you win an Opposed Test when defending in melee combat, you cause Damage as if you were the attacker.</t>
        </is>
      </c>
      <c r="F161" t="n">
        <v>124</v>
      </c>
    </row>
    <row r="162">
      <c r="A162" t="inlineStr">
        <is>
          <t>River Guide</t>
        </is>
      </c>
      <c r="B162" t="inlineStr">
        <is>
          <t>River Guide</t>
        </is>
      </c>
      <c r="C162" t="inlineStr">
        <is>
          <t>No</t>
        </is>
      </c>
      <c r="E162" t="inlineStr">
        <is>
          <t>You know all the tricks for navigating dangerous rivers. You need not Test to navigate dangerous waters unless the Difficulty is Difficult (-1 SL) or lower. If you also have the appropriate Lore (Local) Skill, you never need to Test — you are assumed to know a safe route.</t>
        </is>
      </c>
      <c r="F162" t="n">
        <v>124</v>
      </c>
    </row>
    <row r="163">
      <c r="A163" t="inlineStr">
        <is>
          <t>Robust</t>
        </is>
      </c>
      <c r="B163" t="inlineStr">
        <is>
          <t>Robust</t>
        </is>
      </c>
      <c r="C163" t="inlineStr">
        <is>
          <t>No</t>
        </is>
      </c>
      <c r="E163" t="inlineStr">
        <is>
          <t>You are as tough as old boots and quickly recover from injury. Whenever you test to heal Wounds you may heal an additional 2 Wounds.</t>
        </is>
      </c>
      <c r="F163" t="n">
        <v>124</v>
      </c>
    </row>
    <row r="164">
      <c r="A164" t="inlineStr">
        <is>
          <t>Roughrider</t>
        </is>
      </c>
      <c r="B164" t="inlineStr">
        <is>
          <t>Roughrider</t>
        </is>
      </c>
      <c r="C164" t="inlineStr">
        <is>
          <t>No</t>
        </is>
      </c>
      <c r="E164" t="inlineStr">
        <is>
          <t>Assuming you have the Ride Skill, you can direct your mount to take an Action, as well as a Move, without a Ride Test. If a Ride Test is required, you may make it with Advantage. Furthermore, when mounted in a Pursuit, add +1 to the animal's Movement Attribute.</t>
        </is>
      </c>
      <c r="F164" t="n">
        <v>125</v>
      </c>
    </row>
    <row r="165">
      <c r="A165" t="inlineStr">
        <is>
          <t>Rover</t>
        </is>
      </c>
      <c r="B165" t="inlineStr">
        <is>
          <t>Rover</t>
        </is>
      </c>
      <c r="C165" t="inlineStr">
        <is>
          <t>No</t>
        </is>
      </c>
      <c r="E165" t="inlineStr">
        <is>
          <t>You are at home in wild places, moving quickly and quietly through Taal's own realm. You gain Advantage on Stealth (Rural) Tests, and can usually determine the easiest route through an area, as well as where to find game, water, and shelter.</t>
        </is>
      </c>
      <c r="F165" t="n">
        <v>125</v>
      </c>
    </row>
    <row r="166">
      <c r="A166" t="inlineStr">
        <is>
          <t>Savant (Art)</t>
        </is>
      </c>
      <c r="B166" t="inlineStr">
        <is>
          <t>Savant</t>
        </is>
      </c>
      <c r="C166" t="inlineStr">
        <is>
          <t>Yes</t>
        </is>
      </c>
      <c r="E166" t="inlineStr">
        <is>
          <t>You are exceptionally learned and have a significant degree of specialised knowledge in your field of study. Choose any Lore Specialisation you possess. Tests made using this Lore Specialisation are made with Advantage. You may acquire this Talent more than once, choosing a new Lore Specialisation each time you do so.</t>
        </is>
      </c>
      <c r="F166" t="n">
        <v>125</v>
      </c>
    </row>
    <row r="167">
      <c r="A167" t="inlineStr">
        <is>
          <t>Savant (Chemistry)</t>
        </is>
      </c>
      <c r="B167" t="inlineStr">
        <is>
          <t>Savant</t>
        </is>
      </c>
      <c r="C167" t="inlineStr">
        <is>
          <t>Yes</t>
        </is>
      </c>
      <c r="E167" t="inlineStr">
        <is>
          <t>You are exceptionally learned and have a significant degree of specialised knowledge in your field of study. Choose any Lore Specialisation you possess. Tests made using this Lore Specialisation are made with Advantage. You may acquire this Talent more than once, choosing a new Lore Specialisation each time you do so.</t>
        </is>
      </c>
      <c r="F167" t="n">
        <v>125</v>
      </c>
    </row>
    <row r="168">
      <c r="A168" t="inlineStr">
        <is>
          <t>Savant (Engineering)</t>
        </is>
      </c>
      <c r="B168" t="inlineStr">
        <is>
          <t>Savant</t>
        </is>
      </c>
      <c r="C168" t="inlineStr">
        <is>
          <t>Yes</t>
        </is>
      </c>
      <c r="E168" t="inlineStr">
        <is>
          <t>You are exceptionally learned and have a significant degree of specialised knowledge in your field of study. Choose any Lore Specialisation you possess. Tests made using this Lore Specialisation are made with Advantage. You may acquire this Talent more than once, choosing a new Lore Specialisation each time you do so.</t>
        </is>
      </c>
      <c r="F168" t="n">
        <v>125</v>
      </c>
    </row>
    <row r="169">
      <c r="A169" t="inlineStr">
        <is>
          <t>Savant (Folklore)</t>
        </is>
      </c>
      <c r="B169" t="inlineStr">
        <is>
          <t>Savant</t>
        </is>
      </c>
      <c r="C169" t="inlineStr">
        <is>
          <t>Yes</t>
        </is>
      </c>
      <c r="E169" t="inlineStr">
        <is>
          <t>You are exceptionally learned and have a significant degree of specialised knowledge in your field of study. Choose any Lore Specialisation you possess. Tests made using this Lore Specialisation are made with Advantage. You may acquire this Talent more than once, choosing a new Lore Specialisation each time you do so.</t>
        </is>
      </c>
      <c r="F169" t="n">
        <v>125</v>
      </c>
    </row>
    <row r="170">
      <c r="A170" t="inlineStr">
        <is>
          <t>Savant (Herbs)</t>
        </is>
      </c>
      <c r="B170" t="inlineStr">
        <is>
          <t>Savant</t>
        </is>
      </c>
      <c r="C170" t="inlineStr">
        <is>
          <t>Yes</t>
        </is>
      </c>
      <c r="E170" t="inlineStr">
        <is>
          <t>You are exceptionally learned and have a significant degree of specialised knowledge in your field of study. Choose any Lore Specialisation you possess. Tests made using this Lore Specialisation are made with Advantage. You may acquire this Talent more than once, choosing a new Lore Specialisation each time you do so.</t>
        </is>
      </c>
      <c r="F170" t="n">
        <v>125</v>
      </c>
    </row>
    <row r="171">
      <c r="A171" t="inlineStr">
        <is>
          <t>Savant (Law)</t>
        </is>
      </c>
      <c r="B171" t="inlineStr">
        <is>
          <t>Savant</t>
        </is>
      </c>
      <c r="C171" t="inlineStr">
        <is>
          <t>Yes</t>
        </is>
      </c>
      <c r="E171" t="inlineStr">
        <is>
          <t>You are exceptionally learned and have a significant degree of specialised knowledge in your field of study. Choose any Lore Specialisation you possess. Tests made using this Lore Specialisation are made with Advantage. You may acquire this Talent more than once, choosing a new Lore Specialisation each time you do so.</t>
        </is>
      </c>
      <c r="F171" t="n">
        <v>125</v>
      </c>
    </row>
    <row r="172">
      <c r="A172" t="inlineStr">
        <is>
          <t>Savant (Local)</t>
        </is>
      </c>
      <c r="B172" t="inlineStr">
        <is>
          <t>Savant</t>
        </is>
      </c>
      <c r="C172" t="inlineStr">
        <is>
          <t>Yes</t>
        </is>
      </c>
      <c r="E172" t="inlineStr">
        <is>
          <t>You are exceptionally learned and have a significant degree of specialised knowledge in your field of study. Choose any Lore Specialisation you possess. Tests made using this Lore Specialisation are made with Advantage. You may acquire this Talent more than once, choosing a new Lore Specialisation each time you do so.</t>
        </is>
      </c>
      <c r="F172" t="n">
        <v>125</v>
      </c>
    </row>
    <row r="173">
      <c r="A173" t="inlineStr">
        <is>
          <t>Savant (Lore Specialisation)</t>
        </is>
      </c>
      <c r="B173" t="inlineStr">
        <is>
          <t>Savant</t>
        </is>
      </c>
      <c r="C173" t="inlineStr">
        <is>
          <t>Yes</t>
        </is>
      </c>
      <c r="E173" t="inlineStr">
        <is>
          <t>You are exceptionally learned and have a significant degree of specialised knowledge in your field of study. Choose any Lore Specialisation you possess. Tests made using this Lore Specialisation are made with Advantage. You may acquire this Talent more than once, choosing a new Lore Specialisation each time you do so.</t>
        </is>
      </c>
      <c r="F173" t="n">
        <v>125</v>
      </c>
    </row>
    <row r="174">
      <c r="A174" t="inlineStr">
        <is>
          <t>Savant (Medicine)</t>
        </is>
      </c>
      <c r="B174" t="inlineStr">
        <is>
          <t>Savant</t>
        </is>
      </c>
      <c r="C174" t="inlineStr">
        <is>
          <t>Yes</t>
        </is>
      </c>
      <c r="E174" t="inlineStr">
        <is>
          <t>You are exceptionally learned and have a significant degree of specialised knowledge in your field of study. Choose any Lore Specialisation you possess. Tests made using this Lore Specialisation are made with Advantage. You may acquire this Talent more than once, choosing a new Lore Specialisation each time you do so.</t>
        </is>
      </c>
      <c r="F174" t="n">
        <v>125</v>
      </c>
    </row>
    <row r="175">
      <c r="A175" t="inlineStr">
        <is>
          <t>Savant (Politics)</t>
        </is>
      </c>
      <c r="B175" t="inlineStr">
        <is>
          <t>Savant</t>
        </is>
      </c>
      <c r="C175" t="inlineStr">
        <is>
          <t>Yes</t>
        </is>
      </c>
      <c r="E175" t="inlineStr">
        <is>
          <t>You are exceptionally learned and have a significant degree of specialised knowledge in your field of study. Choose any Lore Specialisation you possess. Tests made using this Lore Specialisation are made with Advantage. You may acquire this Talent more than once, choosing a new Lore Specialisation each time you do so.</t>
        </is>
      </c>
      <c r="F175" t="n">
        <v>125</v>
      </c>
    </row>
    <row r="176">
      <c r="A176" t="inlineStr">
        <is>
          <t>Savant (Riverways)</t>
        </is>
      </c>
      <c r="B176" t="inlineStr">
        <is>
          <t>Savant</t>
        </is>
      </c>
      <c r="C176" t="inlineStr">
        <is>
          <t>Yes</t>
        </is>
      </c>
      <c r="E176" t="inlineStr">
        <is>
          <t>You are exceptionally learned and have a significant degree of specialised knowledge in your field of study. Choose any Lore Specialisation you possess. Tests made using this Lore Specialisation are made with Advantage. You may acquire this Talent more than once, choosing a new Lore Specialisation each time you do so.</t>
        </is>
      </c>
      <c r="F176" t="n">
        <v>125</v>
      </c>
    </row>
    <row r="177">
      <c r="A177" t="inlineStr">
        <is>
          <t>Savant (Theology)</t>
        </is>
      </c>
      <c r="B177" t="inlineStr">
        <is>
          <t>Savant</t>
        </is>
      </c>
      <c r="C177" t="inlineStr">
        <is>
          <t>Yes</t>
        </is>
      </c>
      <c r="E177" t="inlineStr">
        <is>
          <t>You are exceptionally learned and have a significant degree of specialised knowledge in your field of study. Choose any Lore Specialisation you possess. Tests made using this Lore Specialisation are made with Advantage. You may acquire this Talent more than once, choosing a new Lore Specialisation each time you do so.</t>
        </is>
      </c>
      <c r="F177" t="n">
        <v>125</v>
      </c>
    </row>
    <row r="178">
      <c r="A178" t="inlineStr">
        <is>
          <t>Savvy</t>
        </is>
      </c>
      <c r="B178" t="inlineStr">
        <is>
          <t>Savvy</t>
        </is>
      </c>
      <c r="C178" t="inlineStr">
        <is>
          <t>No</t>
        </is>
      </c>
      <c r="D178" t="inlineStr">
        <is>
          <t>Int</t>
        </is>
      </c>
      <c r="E178" t="inlineStr">
        <is>
          <t>Gain +5 Intelligence. This does not count toward Advances.</t>
        </is>
      </c>
      <c r="F178" t="n">
        <v>125</v>
      </c>
    </row>
    <row r="179">
      <c r="A179" t="inlineStr">
        <is>
          <t>Scale Sheer Surface</t>
        </is>
      </c>
      <c r="B179" t="inlineStr">
        <is>
          <t>Scale Sheer Surface</t>
        </is>
      </c>
      <c r="C179" t="inlineStr">
        <is>
          <t>No</t>
        </is>
      </c>
      <c r="E179" t="inlineStr">
        <is>
          <t>You are an exceptional climber. You gain Advantage on Climb Tests. Additionally, you can attempt to climb even seemingly impossible surfaces such as sheer fortifications, ice shelves, greased poles, and similar, at a maximum imposed Difficulty of Very Hard (-3 SL).</t>
        </is>
      </c>
      <c r="F179" t="n">
        <v>125</v>
      </c>
    </row>
    <row r="180">
      <c r="A180" t="inlineStr">
        <is>
          <t>Schemer</t>
        </is>
      </c>
      <c r="B180" t="inlineStr">
        <is>
          <t>Schemer</t>
        </is>
      </c>
      <c r="C180" t="inlineStr">
        <is>
          <t>No</t>
        </is>
      </c>
      <c r="E180" t="inlineStr">
        <is>
          <t>You are a master of politics, seeing conspiracy around every corner, and are adept at weaselling secrets and rumour from those in the know. When you successfully use Gossip or Lore (Politics), you can choose to either use your rolled SL, or the number rolled on your units die.</t>
        </is>
      </c>
      <c r="F180" t="n">
        <v>125</v>
      </c>
    </row>
    <row r="181">
      <c r="A181" t="inlineStr">
        <is>
          <t>Sea Legs</t>
        </is>
      </c>
      <c r="B181" t="inlineStr">
        <is>
          <t>Sea Legs</t>
        </is>
      </c>
      <c r="C181" t="inlineStr">
        <is>
          <t>No</t>
        </is>
      </c>
      <c r="E181" t="inlineStr">
        <is>
          <t>You are used to the rolling motion of the oceans, and are unlikely to get seasick, even in the worst storms. Under normal conditions, you need never Test to see if you become seasick, and you gain Advantage on Tests to avoid it should the GM require one.</t>
        </is>
      </c>
      <c r="F181" t="n">
        <v>125</v>
      </c>
    </row>
    <row r="182">
      <c r="A182" t="inlineStr">
        <is>
          <t>Seasoned Traveller</t>
        </is>
      </c>
      <c r="B182" t="inlineStr">
        <is>
          <t>Seasoned Traveller</t>
        </is>
      </c>
      <c r="C182" t="inlineStr">
        <is>
          <t>No</t>
        </is>
      </c>
      <c r="E182" t="inlineStr">
        <is>
          <t>You are an inquisitive soul who has travelled far and wide, and quickly pick up all manner of local information. You can always advance the relevant regional Lore (Local) Skill whilst you remain in that region, even if it is not part of your current Career.</t>
        </is>
      </c>
      <c r="F182" t="n">
        <v>125</v>
      </c>
    </row>
    <row r="183">
      <c r="A183" t="inlineStr">
        <is>
          <t>Second Sight</t>
        </is>
      </c>
      <c r="B183" t="inlineStr">
        <is>
          <t>Second Sight</t>
        </is>
      </c>
      <c r="C183" t="inlineStr">
        <is>
          <t>No</t>
        </is>
      </c>
      <c r="E183" t="inlineStr">
        <is>
          <t>You can perceive the shifting Winds of Magic that course from the Chaos Gates at the poles of the world. You now have the ability to percieve the Winds of Magic (see page 236).</t>
        </is>
      </c>
      <c r="F183" t="n">
        <v>125</v>
      </c>
    </row>
    <row r="184">
      <c r="A184" t="inlineStr">
        <is>
          <t>Secret Identity</t>
        </is>
      </c>
      <c r="B184" t="inlineStr">
        <is>
          <t>Secret Identity</t>
        </is>
      </c>
      <c r="C184" t="inlineStr">
        <is>
          <t>No</t>
        </is>
      </c>
      <c r="E184" t="inlineStr">
        <is>
          <t>You can adopt an alternate persona with a Career of your choice for a set period of time (an encounter, a day, an entire adventure) without having to Test to maintain the charade, and during this period you are treated as having the Class and Status of the chosen Career.</t>
        </is>
      </c>
      <c r="F184" t="n">
        <v>125</v>
      </c>
    </row>
    <row r="185">
      <c r="A185" t="inlineStr">
        <is>
          <t>Shadow</t>
        </is>
      </c>
      <c r="B185" t="inlineStr">
        <is>
          <t>Shadow</t>
        </is>
      </c>
      <c r="C185" t="inlineStr">
        <is>
          <t>No</t>
        </is>
      </c>
      <c r="E185" t="inlineStr">
        <is>
          <t>You instinctively know when to abandon a tail before your quarry spots you. If someone you are following succeeds on a Perception Test to spot you, you may either allow them to spot you and continue following them, or lose track of them and remain unseen.</t>
        </is>
      </c>
      <c r="F185" t="n">
        <v>125</v>
      </c>
    </row>
    <row r="186">
      <c r="A186" t="inlineStr">
        <is>
          <t>Sharp</t>
        </is>
      </c>
      <c r="B186" t="inlineStr">
        <is>
          <t>Sharp</t>
        </is>
      </c>
      <c r="C186" t="inlineStr">
        <is>
          <t>No</t>
        </is>
      </c>
      <c r="D186" t="inlineStr">
        <is>
          <t>I</t>
        </is>
      </c>
      <c r="E186" t="inlineStr">
        <is>
          <t>Gain +5 Initiative. This does not count toward Advances.</t>
        </is>
      </c>
      <c r="F186" t="n">
        <v>125</v>
      </c>
    </row>
    <row r="187">
      <c r="A187" t="inlineStr">
        <is>
          <t>Sharpshooter</t>
        </is>
      </c>
      <c r="B187" t="inlineStr">
        <is>
          <t>Sharpshooter</t>
        </is>
      </c>
      <c r="C187" t="inlineStr">
        <is>
          <t>No</t>
        </is>
      </c>
      <c r="E187" t="inlineStr">
        <is>
          <t>Ranged Tests you make do not incur any penalties from your target being Prone or in cover. You may also perform feats of accuracy with your weapons that most would think impossible, such as cutting a hangman's noose with an arrow or punching a hole in a tossed coin with a pistol shot.</t>
        </is>
      </c>
      <c r="F187" t="n">
        <v>125</v>
      </c>
    </row>
    <row r="188">
      <c r="A188" t="inlineStr">
        <is>
          <t>Shieldsman</t>
        </is>
      </c>
      <c r="B188" t="inlineStr">
        <is>
          <t>Shieldsman</t>
        </is>
      </c>
      <c r="C188" t="inlineStr">
        <is>
          <t>No</t>
        </is>
      </c>
      <c r="E188" t="inlineStr">
        <is>
          <t>Once per Round, while carrying a shield, you may lose Momentum to either grant your shield's AP bonus to an adjacent ally who is not carrying a shield, or, if you win an Opposed Melee Test while attacking or defending, push your opponent up to 2 yards directly away and no longer count as Engaged.</t>
        </is>
      </c>
      <c r="F188" t="n">
        <v>125</v>
      </c>
    </row>
    <row r="189">
      <c r="A189" t="inlineStr">
        <is>
          <t>Sixth Sense</t>
        </is>
      </c>
      <c r="B189" t="inlineStr">
        <is>
          <t>Sixth Sense</t>
        </is>
      </c>
      <c r="C189" t="inlineStr">
        <is>
          <t>No</t>
        </is>
      </c>
      <c r="E189" t="inlineStr">
        <is>
          <t>You get a strange feeling whenever danger is near. If you are about to trigger a trap or fall victim to a hidden danger, such as an ambush, collapsing tunnel, or poisoned glass of wine, you may make a Challenging (+0 SL) Intuition Test. On a success, you detect the danger at the last possible moment.</t>
        </is>
      </c>
      <c r="F189" t="n">
        <v>126</v>
      </c>
    </row>
    <row r="190">
      <c r="A190" t="inlineStr">
        <is>
          <t>Slayer</t>
        </is>
      </c>
      <c r="B190" t="inlineStr">
        <is>
          <t>Slayer</t>
        </is>
      </c>
      <c r="C190" t="inlineStr">
        <is>
          <t>No</t>
        </is>
      </c>
      <c r="E190" t="inlineStr">
        <is>
          <t>You are undaunted by large enemies and attack them with great gusto. If you Charge a creature whose Size is larger than you, you automatically gain Momentum.</t>
        </is>
      </c>
      <c r="F190" t="n">
        <v>126</v>
      </c>
    </row>
    <row r="191">
      <c r="A191" t="inlineStr">
        <is>
          <t>Small</t>
        </is>
      </c>
      <c r="B191" t="inlineStr">
        <is>
          <t>Small</t>
        </is>
      </c>
      <c r="C191" t="inlineStr">
        <is>
          <t>No</t>
        </is>
      </c>
      <c r="E191" t="inlineStr">
        <is>
          <t>You are much shorter than most folk in the Old World. Gain Size (Small). The full rules for different Sizes are found in Chapter 12: Bestiary on page 360.</t>
        </is>
      </c>
      <c r="F191" t="n">
        <v>126</v>
      </c>
    </row>
    <row r="192">
      <c r="A192" t="inlineStr">
        <is>
          <t>Sniper</t>
        </is>
      </c>
      <c r="B192" t="inlineStr">
        <is>
          <t>Sniper</t>
        </is>
      </c>
      <c r="C192" t="inlineStr">
        <is>
          <t>No</t>
        </is>
      </c>
      <c r="E192" t="inlineStr">
        <is>
          <t>Distance is of no import to your shooting skills, and you are just as adept at picking off far away targets as those nearby. You suffer no penalties for shooting at Long Range, and only a -1 SL penalty for shots made at Extreme Range.</t>
        </is>
      </c>
      <c r="F192" t="n">
        <v>126</v>
      </c>
    </row>
    <row r="193">
      <c r="A193" t="inlineStr">
        <is>
          <t>Speedreader</t>
        </is>
      </c>
      <c r="B193" t="inlineStr">
        <is>
          <t>Speedreader</t>
        </is>
      </c>
      <c r="C193" t="inlineStr">
        <is>
          <t>No</t>
        </is>
      </c>
      <c r="E193" t="inlineStr">
        <is>
          <t>You read books at a voracious pace. A single glance is all you require to read a full page of text, and you can easily make your way through even a lengthy tome in a single day. When you make an Extended Research Test, double the SL added by any successful Test you make.</t>
        </is>
      </c>
      <c r="F193" t="n">
        <v>126</v>
      </c>
    </row>
    <row r="194">
      <c r="A194" t="inlineStr">
        <is>
          <t>Sprinter</t>
        </is>
      </c>
      <c r="B194" t="inlineStr">
        <is>
          <t>Sprinter</t>
        </is>
      </c>
      <c r="C194" t="inlineStr">
        <is>
          <t>No</t>
        </is>
      </c>
      <c r="E194" t="inlineStr">
        <is>
          <t>You are a swift runner with a good level of physical fitness. You gain Advantage on Athletics Tests to run and jump.</t>
        </is>
      </c>
      <c r="F194" t="n">
        <v>126</v>
      </c>
    </row>
    <row r="195">
      <c r="A195" t="inlineStr">
        <is>
          <t>Step Aside</t>
        </is>
      </c>
      <c r="B195" t="inlineStr">
        <is>
          <t>Step Aside</t>
        </is>
      </c>
      <c r="C195" t="inlineStr">
        <is>
          <t>No</t>
        </is>
      </c>
      <c r="E195" t="inlineStr">
        <is>
          <t>You are skilled at being where enemy weapons are not. If you successfully use Dodge to defend against an attack, you may move up to 2 yards as you dive away, and no longer count as Engaged. Opponents do not gain a free attack when you do this.</t>
        </is>
      </c>
      <c r="F195" t="n">
        <v>126</v>
      </c>
    </row>
    <row r="196">
      <c r="A196" t="inlineStr">
        <is>
          <t>Stone Soup</t>
        </is>
      </c>
      <c r="B196" t="inlineStr">
        <is>
          <t>Stone Soup</t>
        </is>
      </c>
      <c r="C196" t="inlineStr">
        <is>
          <t>No</t>
        </is>
      </c>
      <c r="E196" t="inlineStr">
        <is>
          <t>You are used to getting by with less, and know how to survive lean times. If a member of the party makes a Foraging Test (see page 152), they automatically locate sufficient food to feed you, over and above the number of Characters fed by the Test result, even if the Test fails.</t>
        </is>
      </c>
      <c r="F196" t="n">
        <v>126</v>
      </c>
    </row>
    <row r="197">
      <c r="A197" t="inlineStr">
        <is>
          <t>Stout-hearted</t>
        </is>
      </c>
      <c r="B197" t="inlineStr">
        <is>
          <t>Stout-hearted</t>
        </is>
      </c>
      <c r="C197" t="inlineStr">
        <is>
          <t>No</t>
        </is>
      </c>
      <c r="E197" t="inlineStr">
        <is>
          <t>No matter how bad things get, you always seem to come back for more. The first time in an encounter you gain one or more Broken Conditions, you gain one less.</t>
        </is>
      </c>
      <c r="F197" t="n">
        <v>126</v>
      </c>
    </row>
    <row r="198">
      <c r="A198" t="inlineStr">
        <is>
          <t>Striding Gait (Coastal)</t>
        </is>
      </c>
      <c r="B198" t="inlineStr">
        <is>
          <t>Striding Gait</t>
        </is>
      </c>
      <c r="C198" t="inlineStr">
        <is>
          <t>Yes</t>
        </is>
      </c>
      <c r="E198" t="inlineStr">
        <is>
          <t>You ignore all movement penalties when crossing over or through a specified terrain. If engaged in a Pursuit in your chosen terrain, you receive +2 SL to all Tests relating to the Pursuit. Example Terrains are: Coastal, Desert, Rocky, Tundra, Wetland, Woodland.</t>
        </is>
      </c>
      <c r="F198" t="n">
        <v>127</v>
      </c>
    </row>
    <row r="199">
      <c r="A199" t="inlineStr">
        <is>
          <t>Striding Gait (Rocky)</t>
        </is>
      </c>
      <c r="B199" t="inlineStr">
        <is>
          <t>Striding Gait</t>
        </is>
      </c>
      <c r="C199" t="inlineStr">
        <is>
          <t>Yes</t>
        </is>
      </c>
      <c r="E199" t="inlineStr">
        <is>
          <t>You ignore all movement penalties when crossing over or through a specified terrain. If engaged in a Pursuit in your chosen terrain, you receive +2 SL to all Tests relating to the Pursuit. Example Terrains are: Coastal, Desert, Rocky, Tundra, Wetland, Woodland.</t>
        </is>
      </c>
      <c r="F199" t="n">
        <v>127</v>
      </c>
    </row>
    <row r="200">
      <c r="A200" t="inlineStr">
        <is>
          <t>Striding Gait (Terrain)</t>
        </is>
      </c>
      <c r="B200" t="inlineStr">
        <is>
          <t>Striding Gait</t>
        </is>
      </c>
      <c r="C200" t="inlineStr">
        <is>
          <t>Yes</t>
        </is>
      </c>
      <c r="E200" t="inlineStr">
        <is>
          <t>You ignore all movement penalties when crossing over or through a specified terrain. If engaged in a Pursuit in your chosen terrain, you receive +2 SL to all Tests relating to the Pursuit. Example Terrains are: Coastal, Desert, Rocky, Tundra, Wetland, Woodland.</t>
        </is>
      </c>
      <c r="F200" t="n">
        <v>127</v>
      </c>
    </row>
    <row r="201">
      <c r="A201" t="inlineStr">
        <is>
          <t>Striding Gait (Wetland)</t>
        </is>
      </c>
      <c r="B201" t="inlineStr">
        <is>
          <t>Striding Gait</t>
        </is>
      </c>
      <c r="C201" t="inlineStr">
        <is>
          <t>Yes</t>
        </is>
      </c>
      <c r="E201" t="inlineStr">
        <is>
          <t>You ignore all movement penalties when crossing over or through a specified terrain. If engaged in a Pursuit in your chosen terrain, you receive +2 SL to all Tests relating to the Pursuit. Example Terrains are: Coastal, Desert, Rocky, Tundra, Wetland, Woodland.</t>
        </is>
      </c>
      <c r="F201" t="n">
        <v>127</v>
      </c>
    </row>
    <row r="202">
      <c r="A202" t="inlineStr">
        <is>
          <t>Strike Mighty Blow</t>
        </is>
      </c>
      <c r="B202" t="inlineStr">
        <is>
          <t>Strike Mighty Blow</t>
        </is>
      </c>
      <c r="C202" t="inlineStr">
        <is>
          <t>No</t>
        </is>
      </c>
      <c r="E202" t="inlineStr">
        <is>
          <t>You know how to hit hard! You inflict +1 extra Damage with melee weapons, or +2 if your attack was made with Advantage.</t>
        </is>
      </c>
      <c r="F202" t="n">
        <v>127</v>
      </c>
    </row>
    <row r="203">
      <c r="A203" t="inlineStr">
        <is>
          <t>Strike to Injure</t>
        </is>
      </c>
      <c r="B203" t="inlineStr">
        <is>
          <t>Strike to Injure</t>
        </is>
      </c>
      <c r="C203" t="inlineStr">
        <is>
          <t>No</t>
        </is>
      </c>
      <c r="E203" t="inlineStr">
        <is>
          <t>You are an expert at striking your enemies' most vulnerable areas. When rolling on a Critical Wound table, roll twice and choose which result you prefer. Further, you ignore the Called Shot penalty when going for a Silent Takedown (see page 135).</t>
        </is>
      </c>
      <c r="F203" t="n">
        <v>127</v>
      </c>
    </row>
    <row r="204">
      <c r="A204" t="inlineStr">
        <is>
          <t>Strike to Stun</t>
        </is>
      </c>
      <c r="B204" t="inlineStr">
        <is>
          <t>Strike to Stun</t>
        </is>
      </c>
      <c r="C204" t="inlineStr">
        <is>
          <t>No</t>
        </is>
      </c>
      <c r="E204" t="inlineStr">
        <is>
          <t>You know how to use your weapon to subdue, not kill. You count all Improvised Weapons as having the Pummel Quality. When using a Pummel weapon, ignore the Called Shot penalty when going for a Silent Takedown (see page 135).</t>
        </is>
      </c>
      <c r="F204" t="n">
        <v>127</v>
      </c>
    </row>
    <row r="205">
      <c r="A205" t="inlineStr">
        <is>
          <t>Strong Back</t>
        </is>
      </c>
      <c r="B205" t="inlineStr">
        <is>
          <t>Strong Back</t>
        </is>
      </c>
      <c r="C205" t="inlineStr">
        <is>
          <t>Yes</t>
        </is>
      </c>
      <c r="E205" t="inlineStr">
        <is>
          <t>You have a strong back that is used to hard work. You gain a bonus of +1 SL to any Opposed Strength Test, and the amount of Encumbrance you can carry increases by one. If you wish, you may purchase this Talent a second time, increasing the bonus to +3 SL and the number of additional Encumbrance points to three.</t>
        </is>
      </c>
      <c r="F205" t="n">
        <v>127</v>
      </c>
    </row>
    <row r="206">
      <c r="A206" t="inlineStr">
        <is>
          <t>Strong Legs</t>
        </is>
      </c>
      <c r="B206" t="inlineStr">
        <is>
          <t>Strong Legs</t>
        </is>
      </c>
      <c r="C206" t="inlineStr">
        <is>
          <t>No</t>
        </is>
      </c>
      <c r="E206" t="inlineStr">
        <is>
          <t>You have strong legs able to carry you great distances when you jump. When you successfully use the Athletics Skill to sprint or leap, you can choose to either use your rolled SL, or the number rolled on your units die.</t>
        </is>
      </c>
      <c r="F206" t="n">
        <v>127</v>
      </c>
    </row>
    <row r="207">
      <c r="A207" t="inlineStr">
        <is>
          <t>Strong Swimmer</t>
        </is>
      </c>
      <c r="B207" t="inlineStr">
        <is>
          <t>Strong Swimmer</t>
        </is>
      </c>
      <c r="C207" t="inlineStr">
        <is>
          <t>No</t>
        </is>
      </c>
      <c r="E207" t="inlineStr">
        <is>
          <t>You are an accomplished swimmer, able to fight a strong current and outpace other swimmers. You gain Advantage on Swim Tests, and receive a +2 SL Bonus to swimming Pursuits.</t>
        </is>
      </c>
      <c r="F207" t="n">
        <v>127</v>
      </c>
    </row>
    <row r="208">
      <c r="A208" t="inlineStr">
        <is>
          <t>Strong-minded</t>
        </is>
      </c>
      <c r="B208" t="inlineStr">
        <is>
          <t>Strong-minded</t>
        </is>
      </c>
      <c r="C208" t="inlineStr">
        <is>
          <t>No</t>
        </is>
      </c>
      <c r="E208" t="inlineStr">
        <is>
          <t>You are the epitome of determination and resolve. Once per session, before taking a Test, you may choose to take that Test without any negative modifiers.</t>
        </is>
      </c>
      <c r="F208" t="n">
        <v>127</v>
      </c>
    </row>
    <row r="209">
      <c r="A209" t="inlineStr">
        <is>
          <t>Sturdy</t>
        </is>
      </c>
      <c r="B209" t="inlineStr">
        <is>
          <t>Sturdy</t>
        </is>
      </c>
      <c r="C209" t="inlineStr">
        <is>
          <t>No</t>
        </is>
      </c>
      <c r="E209" t="inlineStr">
        <is>
          <t>You have a brawny physique, or are very used to carrying things. When calculating the number of Encumbrance Points you can carry, count your Strength Bonus twice.</t>
        </is>
      </c>
      <c r="F209" t="n">
        <v>127</v>
      </c>
    </row>
    <row r="210">
      <c r="A210" t="inlineStr">
        <is>
          <t>Suave</t>
        </is>
      </c>
      <c r="B210" t="inlineStr">
        <is>
          <t>Suave</t>
        </is>
      </c>
      <c r="C210" t="inlineStr">
        <is>
          <t>No</t>
        </is>
      </c>
      <c r="D210" t="inlineStr">
        <is>
          <t>Fel</t>
        </is>
      </c>
      <c r="E210" t="inlineStr">
        <is>
          <t>Gain +5 Fellowship. This does not count toward Advances.</t>
        </is>
      </c>
      <c r="F210" t="n">
        <v>127</v>
      </c>
    </row>
    <row r="211">
      <c r="A211" t="inlineStr">
        <is>
          <t>Super Numerate</t>
        </is>
      </c>
      <c r="B211" t="inlineStr">
        <is>
          <t>Super Numerate</t>
        </is>
      </c>
      <c r="C211" t="inlineStr">
        <is>
          <t>No</t>
        </is>
      </c>
      <c r="E211" t="inlineStr">
        <is>
          <t>You have a gift for calculation and can work out solutions to most mathematical problems with ease, without the need for a quill, paper, or abacus. You gain Advantage on Evaluate Tests, and you can keep track of the passage of time accurately so long as you are conscious.</t>
        </is>
      </c>
      <c r="F211" t="n">
        <v>127</v>
      </c>
    </row>
    <row r="212">
      <c r="A212" t="inlineStr">
        <is>
          <t>Supportive</t>
        </is>
      </c>
      <c r="B212" t="inlineStr">
        <is>
          <t>Supportive</t>
        </is>
      </c>
      <c r="C212" t="inlineStr">
        <is>
          <t>No</t>
        </is>
      </c>
      <c r="E212" t="inlineStr">
        <is>
          <t>You know what to say and when to make the most impact upon your superiors. You not only ignore the penalty to using Charm on those of a higher Status Tier, but also gain Advantage on Charm Tests made to ingratiate yourself with those of higher Status.</t>
        </is>
      </c>
      <c r="F212" t="n">
        <v>127</v>
      </c>
    </row>
    <row r="213">
      <c r="A213" t="inlineStr">
        <is>
          <t>Sure Shot</t>
        </is>
      </c>
      <c r="B213" t="inlineStr">
        <is>
          <t>Sure Shot</t>
        </is>
      </c>
      <c r="C213" t="inlineStr">
        <is>
          <t>No</t>
        </is>
      </c>
      <c r="E213" t="inlineStr">
        <is>
          <t>Your Ranged Attacks inflict +1 Damage, and may ignore armour with the Partial Flaw. If your weapon has the Impale Quality, you can ignore armour with the Weakpoints Flaw as well.</t>
        </is>
      </c>
      <c r="F213" t="n">
        <v>127</v>
      </c>
    </row>
    <row r="214">
      <c r="A214" t="inlineStr">
        <is>
          <t>Surgery</t>
        </is>
      </c>
      <c r="B214" t="inlineStr">
        <is>
          <t>Surgery</t>
        </is>
      </c>
      <c r="C214" t="inlineStr">
        <is>
          <t>No</t>
        </is>
      </c>
      <c r="E214" t="inlineStr">
        <is>
          <t>When you successfully use the Heal Skill outside of combat, you can choose to either use your rolled SL, or the number rolled on your units die. Furthermore, you can treat any Critical Wound marked as needing Surgery, for effects see pages 172 to 179.</t>
        </is>
      </c>
      <c r="F214" t="n">
        <v>127</v>
      </c>
    </row>
    <row r="215">
      <c r="A215" t="inlineStr">
        <is>
          <t>Tenacious</t>
        </is>
      </c>
      <c r="B215" t="inlineStr">
        <is>
          <t>Tenacious</t>
        </is>
      </c>
      <c r="C215" t="inlineStr">
        <is>
          <t>No</t>
        </is>
      </c>
      <c r="E215" t="inlineStr">
        <is>
          <t>You are a vigorous sort. The first time in an encounter you would gain one or more Fatigued Conditions, you gain one less.</t>
        </is>
      </c>
      <c r="F215" t="n">
        <v>127</v>
      </c>
    </row>
    <row r="216">
      <c r="A216" t="inlineStr">
        <is>
          <t>Tinker</t>
        </is>
      </c>
      <c r="B216" t="inlineStr">
        <is>
          <t>Tinker</t>
        </is>
      </c>
      <c r="C216" t="inlineStr">
        <is>
          <t>No</t>
        </is>
      </c>
      <c r="E216" t="inlineStr">
        <is>
          <t>You are somewhat of a Johann-of-all-trades, able to repair almost anything. You count all Trade Skills as Basic when repairing broken items. If you have at least 1 Advance in a Trade Skill, you have Advantage on Tests to repair associated items, and such repairs take half as much time.</t>
        </is>
      </c>
      <c r="F216" t="n">
        <v>127</v>
      </c>
    </row>
    <row r="217">
      <c r="A217" t="inlineStr">
        <is>
          <t>Tower of Memories</t>
        </is>
      </c>
      <c r="B217" t="inlineStr">
        <is>
          <t>Tower of Memories</t>
        </is>
      </c>
      <c r="C217" t="inlineStr">
        <is>
          <t>No</t>
        </is>
      </c>
      <c r="E217" t="inlineStr">
        <is>
          <t>When you successfully use the Lore Skill, you can choose to either use your rolled SL, or the number rolled on your units die.</t>
        </is>
      </c>
      <c r="F217" t="n">
        <v>128</v>
      </c>
    </row>
    <row r="218">
      <c r="A218" t="inlineStr">
        <is>
          <t>Trapper</t>
        </is>
      </c>
      <c r="B218" t="inlineStr">
        <is>
          <t>Trapper</t>
        </is>
      </c>
      <c r="C218" t="inlineStr">
        <is>
          <t>No</t>
        </is>
      </c>
      <c r="E218" t="inlineStr">
        <is>
          <t>You are skilled at using all manner of traps, and know how to make basic snares and pitfalls from whatever comes to hand. You gain Advantage on Set Trap Tests. Additionally, with an hour to prepare, you can craft a small animal trap or covered pit (see page 136).</t>
        </is>
      </c>
      <c r="F218" t="n">
        <v>128</v>
      </c>
    </row>
    <row r="219">
      <c r="A219" t="inlineStr">
        <is>
          <t>Trick Rider</t>
        </is>
      </c>
      <c r="B219" t="inlineStr">
        <is>
          <t>Trick Rider</t>
        </is>
      </c>
      <c r="C219" t="inlineStr">
        <is>
          <t>No</t>
        </is>
      </c>
      <c r="E219" t="inlineStr">
        <is>
          <t>You are capable of amazing feats of agility while in the saddle. You can use any of your Perform Skills and unmodified Dodge Skill when mounted.</t>
        </is>
      </c>
      <c r="F219" t="n">
        <v>128</v>
      </c>
    </row>
    <row r="220">
      <c r="A220" t="inlineStr">
        <is>
          <t>Tunnel Fighter</t>
        </is>
      </c>
      <c r="B220" t="inlineStr">
        <is>
          <t>Tunnel Fighter</t>
        </is>
      </c>
      <c r="C220" t="inlineStr">
        <is>
          <t>No</t>
        </is>
      </c>
      <c r="E220" t="inlineStr">
        <is>
          <t>You are at home in tunnels, sewers, and other underground environments. You gain Advantage on Stealth (Underground) Tests, and can easily tell how far you have travelled underground and roughly how deep beneath the surface you are.</t>
        </is>
      </c>
      <c r="F220" t="n">
        <v>128</v>
      </c>
    </row>
    <row r="221">
      <c r="A221" t="inlineStr">
        <is>
          <t>Unshakeable</t>
        </is>
      </c>
      <c r="B221" t="inlineStr">
        <is>
          <t>Unshakeable</t>
        </is>
      </c>
      <c r="C221" t="inlineStr">
        <is>
          <t>No</t>
        </is>
      </c>
      <c r="E221" t="inlineStr">
        <is>
          <t>You are a jaded veteran who has survived more than one hail of shots from blackpowder weapons. You do not need to Test to resist a Broken Condition if shot at by a Blackpowder weapon.</t>
        </is>
      </c>
      <c r="F221" t="n">
        <v>128</v>
      </c>
    </row>
    <row r="222">
      <c r="A222" t="inlineStr">
        <is>
          <t>Very Resilient</t>
        </is>
      </c>
      <c r="B222" t="inlineStr">
        <is>
          <t>Very Resilient</t>
        </is>
      </c>
      <c r="C222" t="inlineStr">
        <is>
          <t>No</t>
        </is>
      </c>
      <c r="D222" t="inlineStr">
        <is>
          <t>T</t>
        </is>
      </c>
      <c r="E222" t="inlineStr">
        <is>
          <t>Gain +5 Toughness. This does not count toward Advances.</t>
        </is>
      </c>
      <c r="F222" t="n">
        <v>128</v>
      </c>
    </row>
    <row r="223">
      <c r="A223" t="inlineStr">
        <is>
          <t>Very Strong</t>
        </is>
      </c>
      <c r="B223" t="inlineStr">
        <is>
          <t>Very Strong</t>
        </is>
      </c>
      <c r="C223" t="inlineStr">
        <is>
          <t>No</t>
        </is>
      </c>
      <c r="D223" t="inlineStr">
        <is>
          <t>S</t>
        </is>
      </c>
      <c r="E223" t="inlineStr">
        <is>
          <t>Gain +5 Strength. This does not count toward Advances.</t>
        </is>
      </c>
      <c r="F223" t="n">
        <v>128</v>
      </c>
    </row>
    <row r="224">
      <c r="A224" t="inlineStr">
        <is>
          <t>War Leader</t>
        </is>
      </c>
      <c r="B224" t="inlineStr">
        <is>
          <t>War Leader</t>
        </is>
      </c>
      <c r="C224" t="inlineStr">
        <is>
          <t>No</t>
        </is>
      </c>
      <c r="E224" t="inlineStr">
        <is>
          <t>All allies you influence with Leadership during battle (see page 169) may use your Leadership rather than their Cool to resist Fear until the end of the battle. The effect ends if you die, or while you are subject to Broken, Unconscious, or Fear Conditions.</t>
        </is>
      </c>
      <c r="F224" t="n">
        <v>128</v>
      </c>
    </row>
    <row r="225">
      <c r="A225" t="inlineStr">
        <is>
          <t>War Wizard</t>
        </is>
      </c>
      <c r="B225" t="inlineStr">
        <is>
          <t>War Wizard</t>
        </is>
      </c>
      <c r="C225" t="inlineStr">
        <is>
          <t>No</t>
        </is>
      </c>
      <c r="E225" t="inlineStr">
        <is>
          <t>You are trained to cast magic while in the thick of combat. On your Turn, you may cast one Spell with a Casting Number of 5 or less for free without using your Action. If you do this, you may not cast another Spell this Turn.</t>
        </is>
      </c>
      <c r="F225" t="n">
        <v>128</v>
      </c>
    </row>
    <row r="226">
      <c r="A226" t="inlineStr">
        <is>
          <t>Warrior Born</t>
        </is>
      </c>
      <c r="B226" t="inlineStr">
        <is>
          <t>Warrior Born</t>
        </is>
      </c>
      <c r="C226" t="inlineStr">
        <is>
          <t>No</t>
        </is>
      </c>
      <c r="D226" t="inlineStr">
        <is>
          <t>WS</t>
        </is>
      </c>
      <c r="E226" t="inlineStr">
        <is>
          <t>Gain +5 Weapon Skill. This does not count toward Advances.</t>
        </is>
      </c>
      <c r="F226" t="n">
        <v>128</v>
      </c>
    </row>
    <row r="227">
      <c r="A227" t="inlineStr">
        <is>
          <t>Waterman</t>
        </is>
      </c>
      <c r="B227" t="inlineStr">
        <is>
          <t>Waterman</t>
        </is>
      </c>
      <c r="C227" t="inlineStr">
        <is>
          <t>No</t>
        </is>
      </c>
      <c r="E227" t="inlineStr">
        <is>
          <t>You are an experienced freshwater sailor and are well-versed with river vessels. When you successfully use the Row or Sail Skill on a river or lake, you can choose to either use your rolled SL, or the number rolled on your units die. You count as two crewmen towards the minimum number of crew to pilot a river vessel.</t>
        </is>
      </c>
      <c r="F227" t="n">
        <v>128</v>
      </c>
    </row>
    <row r="228">
      <c r="A228" t="inlineStr">
        <is>
          <t>Wealthy</t>
        </is>
      </c>
      <c r="B228" t="inlineStr">
        <is>
          <t>Wealthy</t>
        </is>
      </c>
      <c r="C228" t="inlineStr">
        <is>
          <t>Yes</t>
        </is>
      </c>
      <c r="E228" t="inlineStr">
        <is>
          <t>You are fabulously wealthy and are rarely ever short of coin. For the purpose of securing money through your Career, either during play or performing an Income Endeavour, you obtain 1 additional gold crown. You may take this Talent a second time, allowing you to secure 3 additional gold crowns instead.</t>
        </is>
      </c>
      <c r="F228" t="n">
        <v>128</v>
      </c>
    </row>
    <row r="229">
      <c r="A229" t="inlineStr">
        <is>
          <t>Well-prepared</t>
        </is>
      </c>
      <c r="B229" t="inlineStr">
        <is>
          <t>Well-prepared</t>
        </is>
      </c>
      <c r="C229" t="inlineStr">
        <is>
          <t>No</t>
        </is>
      </c>
      <c r="E229" t="inlineStr">
        <is>
          <t>Once per session, you may pull a Trapping required for the current situation from your pockets, as long as it is Encumbrance 0, could feasibly have been bought recently, and does not stretch credulity too far. You can use this Talent more times in the same session by spending Fortune.</t>
        </is>
      </c>
      <c r="F229" t="n">
        <v>128</v>
      </c>
    </row>
    <row r="230">
      <c r="A230" t="inlineStr">
        <is>
          <t>Witch!</t>
        </is>
      </c>
      <c r="B230" t="inlineStr">
        <is>
          <t>Witch!</t>
        </is>
      </c>
      <c r="C230" t="inlineStr">
        <is>
          <t>No</t>
        </is>
      </c>
      <c r="E230" t="inlineStr">
        <is>
          <t>Gain one Spell of your choice from any Colour Lore or the Lore of Witchcraft, even if you lack the appropriate Arcane Magic Talent. Further, treat that Spell's Channelling Skill as a Basic Skill.</t>
        </is>
      </c>
      <c r="F230" t="n">
        <v>128</v>
      </c>
    </row>
  </sheetData>
  <autoFilter ref="A1:F230"/>
  <pageMargins left="0.75" right="0.75" top="1" bottom="1" header="0.5" footer="0.5"/>
</worksheet>
</file>

<file path=xl/worksheets/sheet9.xml><?xml version="1.0" encoding="utf-8"?>
<worksheet xmlns="http://schemas.openxmlformats.org/spreadsheetml/2006/main">
  <sheetPr>
    <tabColor rgb="00808080"/>
    <outlinePr summaryBelow="1" summaryRight="1"/>
    <pageSetUpPr/>
  </sheetPr>
  <dimension ref="A1:Y25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 customWidth="1" min="3" max="3"/>
    <col width="10" customWidth="1" min="4" max="4"/>
    <col width="20" customWidth="1" min="5" max="5"/>
    <col width="9" customWidth="1" min="6" max="6"/>
    <col width="50" customWidth="1" min="7" max="7"/>
    <col width="40" customWidth="1" min="8" max="8"/>
    <col width="40" customWidth="1" min="9" max="9"/>
    <col width="20" customWidth="1" min="10" max="10"/>
    <col width="20" customWidth="1" min="11" max="11"/>
    <col width="50" customWidth="1" min="12" max="12"/>
    <col width="18" customWidth="1" min="13" max="13"/>
    <col width="2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s>
  <sheetData>
    <row r="1">
      <c r="A1" s="37" t="inlineStr">
        <is>
          <t>Key</t>
        </is>
      </c>
      <c r="B1" s="37" t="inlineStr">
        <is>
          <t>Career</t>
        </is>
      </c>
      <c r="C1" s="37" t="inlineStr">
        <is>
          <t>Level</t>
        </is>
      </c>
      <c r="D1" s="37" t="inlineStr">
        <is>
          <t>Class</t>
        </is>
      </c>
      <c r="E1" s="37" t="inlineStr">
        <is>
          <t>Title</t>
        </is>
      </c>
      <c r="F1" s="37" t="inlineStr">
        <is>
          <t>Status</t>
        </is>
      </c>
      <c r="G1" s="37" t="inlineStr">
        <is>
          <t>Skills</t>
        </is>
      </c>
      <c r="H1" s="37" t="inlineStr">
        <is>
          <t>Talents</t>
        </is>
      </c>
      <c r="I1" s="37" t="inlineStr">
        <is>
          <t>Trappings</t>
        </is>
      </c>
      <c r="J1" s="37" t="inlineStr">
        <is>
          <t>Career skills up to this level (lookup)</t>
        </is>
      </c>
      <c r="K1" s="37" t="inlineStr">
        <is>
          <t>Career talents up to this level (lookup)</t>
        </is>
      </c>
      <c r="L1" s="37" t="inlineStr">
        <is>
          <t>Summary</t>
        </is>
      </c>
      <c r="M1" s="37" t="inlineStr">
        <is>
          <t>Income skill</t>
        </is>
      </c>
      <c r="N1" s="37" t="inlineStr">
        <is>
          <t>Species</t>
        </is>
      </c>
      <c r="O1" s="37" t="inlineStr">
        <is>
          <t>Page</t>
        </is>
      </c>
      <c r="P1" s="37" t="inlineStr">
        <is>
          <t>WS opens at</t>
        </is>
      </c>
      <c r="Q1" s="37" t="inlineStr">
        <is>
          <t>BS opens at</t>
        </is>
      </c>
      <c r="R1" s="37" t="inlineStr">
        <is>
          <t>S opens at</t>
        </is>
      </c>
      <c r="S1" s="37" t="inlineStr">
        <is>
          <t>T opens at</t>
        </is>
      </c>
      <c r="T1" s="37" t="inlineStr">
        <is>
          <t>I opens at</t>
        </is>
      </c>
      <c r="U1" s="37" t="inlineStr">
        <is>
          <t>Ag opens at</t>
        </is>
      </c>
      <c r="V1" s="37" t="inlineStr">
        <is>
          <t>Dex opens at</t>
        </is>
      </c>
      <c r="W1" s="37" t="inlineStr">
        <is>
          <t>Int opens at</t>
        </is>
      </c>
      <c r="X1" s="37" t="inlineStr">
        <is>
          <t>WP opens at</t>
        </is>
      </c>
      <c r="Y1" s="37" t="inlineStr">
        <is>
          <t>Fel opens at</t>
        </is>
      </c>
    </row>
    <row r="2">
      <c r="A2" t="inlineStr">
        <is>
          <t>Adviser|1</t>
        </is>
      </c>
      <c r="B2" t="inlineStr">
        <is>
          <t>Adviser</t>
        </is>
      </c>
      <c r="C2" t="n">
        <v>1</v>
      </c>
      <c r="D2" t="inlineStr">
        <is>
          <t>Courtier</t>
        </is>
      </c>
      <c r="E2" t="inlineStr">
        <is>
          <t>Aide</t>
        </is>
      </c>
      <c r="F2" t="inlineStr">
        <is>
          <t>Silver 1</t>
        </is>
      </c>
      <c r="G2" t="inlineStr">
        <is>
          <t>Bribery, Charm, Evaluate, Gossip, Haggle, Intuition, Lore (Local), Lore (Politics), Research, Secret Signs (Any One)</t>
        </is>
      </c>
      <c r="H2" t="inlineStr">
        <is>
          <t>Beneath Notice, Etiquette (All), Gregarious, Read/Write</t>
        </is>
      </c>
      <c r="I2" t="inlineStr">
        <is>
          <t>Writing Kit</t>
        </is>
      </c>
      <c r="J2" t="inlineStr">
        <is>
          <t>|Bribery|Charm|Evaluate|Gossip|Haggle|Intuition|Lore (Local)|Lore (Politics)|Research|Secret Signs (any)|</t>
        </is>
      </c>
      <c r="K2" t="inlineStr">
        <is>
          <t>|Beneath Notice|Etiquette (any)|Gregarious|Read/Write|</t>
        </is>
      </c>
      <c r="L2" t="inlineStr">
        <is>
          <t>Wise and well-informed, you provide insight and guidance to your employer.</t>
        </is>
      </c>
      <c r="M2" t="inlineStr">
        <is>
          <t>Lore (Politics)</t>
        </is>
      </c>
      <c r="N2" t="inlineStr">
        <is>
          <t>Dwarf, Halfling, High Elf, Human, Wood Elf</t>
        </is>
      </c>
      <c r="O2" t="n">
        <v>45</v>
      </c>
      <c r="T2" t="n">
        <v>2</v>
      </c>
      <c r="U2" t="n">
        <v>4</v>
      </c>
      <c r="V2" t="n">
        <v>1</v>
      </c>
      <c r="W2" t="n">
        <v>1</v>
      </c>
      <c r="X2" t="n">
        <v>3</v>
      </c>
      <c r="Y2" t="n">
        <v>1</v>
      </c>
    </row>
    <row r="3">
      <c r="A3" t="inlineStr">
        <is>
          <t>Adviser|2</t>
        </is>
      </c>
      <c r="B3" t="inlineStr">
        <is>
          <t>Adviser</t>
        </is>
      </c>
      <c r="C3" t="n">
        <v>2</v>
      </c>
      <c r="D3" t="inlineStr">
        <is>
          <t>Courtier</t>
        </is>
      </c>
      <c r="E3" t="inlineStr">
        <is>
          <t>Adviser</t>
        </is>
      </c>
      <c r="F3" t="inlineStr">
        <is>
          <t>Silver 3</t>
        </is>
      </c>
      <c r="G3" t="inlineStr">
        <is>
          <t>Consume Alcohol, Cool, Gamble, Intimidate, Language (Classical, Guilder, or Thieves Tongue), Lore (Heraldry)</t>
        </is>
      </c>
      <c r="H3" t="inlineStr">
        <is>
          <t>Criminal, Embezzle, Schemer, Supportive</t>
        </is>
      </c>
      <c r="I3" t="inlineStr">
        <is>
          <t>Livery</t>
        </is>
      </c>
      <c r="J3" t="inlineStr">
        <is>
          <t>|Bribery|Charm|Evaluate|Gossip|Haggle|Intuition|Lore (Local)|Lore (Politics)|Research|Secret Signs (any)|Consume Alcohol|Cool|Gamble|Intimidate|Language (Classical)|Language (Guilder)|Language (Thieves Tongue)|Lore (Heraldry)|</t>
        </is>
      </c>
      <c r="K3" t="inlineStr">
        <is>
          <t>|Beneath Notice|Etiquette (any)|Gregarious|Read/Write|Criminal|Embezzle|Schemer|Supportive|</t>
        </is>
      </c>
      <c r="L3" t="inlineStr">
        <is>
          <t>Wise and well-informed, you provide insight and guidance to your employer.</t>
        </is>
      </c>
      <c r="M3" t="inlineStr">
        <is>
          <t>Lore (Politics)</t>
        </is>
      </c>
      <c r="N3" t="inlineStr">
        <is>
          <t>Dwarf, Halfling, High Elf, Human, Wood Elf</t>
        </is>
      </c>
      <c r="O3" t="n">
        <v>45</v>
      </c>
      <c r="T3" t="n">
        <v>2</v>
      </c>
      <c r="U3" t="n">
        <v>4</v>
      </c>
      <c r="V3" t="n">
        <v>1</v>
      </c>
      <c r="W3" t="n">
        <v>1</v>
      </c>
      <c r="X3" t="n">
        <v>3</v>
      </c>
      <c r="Y3" t="n">
        <v>1</v>
      </c>
    </row>
    <row r="4">
      <c r="A4" t="inlineStr">
        <is>
          <t>Adviser|3</t>
        </is>
      </c>
      <c r="B4" t="inlineStr">
        <is>
          <t>Adviser</t>
        </is>
      </c>
      <c r="C4" t="n">
        <v>3</v>
      </c>
      <c r="D4" t="inlineStr">
        <is>
          <t>Courtier</t>
        </is>
      </c>
      <c r="E4" t="inlineStr">
        <is>
          <t>Counsellor</t>
        </is>
      </c>
      <c r="F4" t="inlineStr">
        <is>
          <t>Silver 5</t>
        </is>
      </c>
      <c r="G4" t="inlineStr">
        <is>
          <t>Entertain (Storytelling), Language (Any One), Leadership, Lore (Any One)</t>
        </is>
      </c>
      <c r="H4" t="inlineStr">
        <is>
          <t>Argumentative, Briber, Cat-tongued, Kingpin</t>
        </is>
      </c>
      <c r="I4" t="inlineStr">
        <is>
          <t>Aide, Quality Clothing</t>
        </is>
      </c>
      <c r="J4" t="inlineStr">
        <is>
          <t>|Bribery|Charm|Evaluate|Gossip|Haggle|Intuition|Lore (Local)|Lore (Politics)|Research|Secret Signs (any)|Consume Alcohol|Cool|Gamble|Intimidate|Language (Classical)|Language (Guilder)|Language (Thieves Tongue)|Lore (Heraldry)|Entertain (Storytelling)|Language (any)|Leadership|Lore (any)|</t>
        </is>
      </c>
      <c r="K4" t="inlineStr">
        <is>
          <t>|Beneath Notice|Etiquette (any)|Gregarious|Read/Write|Criminal|Embezzle|Schemer|Supportive|Argumentative|Briber|Cat-tongued|Kingpin|</t>
        </is>
      </c>
      <c r="L4" t="inlineStr">
        <is>
          <t>Wise and well-informed, you provide insight and guidance to your employer.</t>
        </is>
      </c>
      <c r="M4" t="inlineStr">
        <is>
          <t>Lore (Politics)</t>
        </is>
      </c>
      <c r="N4" t="inlineStr">
        <is>
          <t>Dwarf, Halfling, High Elf, Human, Wood Elf</t>
        </is>
      </c>
      <c r="O4" t="n">
        <v>45</v>
      </c>
      <c r="T4" t="n">
        <v>2</v>
      </c>
      <c r="U4" t="n">
        <v>4</v>
      </c>
      <c r="V4" t="n">
        <v>1</v>
      </c>
      <c r="W4" t="n">
        <v>1</v>
      </c>
      <c r="X4" t="n">
        <v>3</v>
      </c>
      <c r="Y4" t="n">
        <v>1</v>
      </c>
    </row>
    <row r="5">
      <c r="A5" t="inlineStr">
        <is>
          <t>Adviser|4</t>
        </is>
      </c>
      <c r="B5" t="inlineStr">
        <is>
          <t>Adviser</t>
        </is>
      </c>
      <c r="C5" t="n">
        <v>4</v>
      </c>
      <c r="D5" t="inlineStr">
        <is>
          <t>Courtier</t>
        </is>
      </c>
      <c r="E5" t="inlineStr">
        <is>
          <t>Chancellor</t>
        </is>
      </c>
      <c r="F5" t="inlineStr">
        <is>
          <t>Gold 3</t>
        </is>
      </c>
      <c r="G5" t="inlineStr">
        <is>
          <t>Perform (Dancing), Ride (Horse)</t>
        </is>
      </c>
      <c r="H5" t="inlineStr">
        <is>
          <t>Carouser, Commanding Presence, Noble Blood, Suave</t>
        </is>
      </c>
      <c r="I5" t="inlineStr">
        <is>
          <t>Quality Courtly Garb, Riding Horse, Staff of Advisers and Aides</t>
        </is>
      </c>
      <c r="J5" t="inlineStr">
        <is>
          <t>|Bribery|Charm|Evaluate|Gossip|Haggle|Intuition|Lore (Local)|Lore (Politics)|Research|Secret Signs (any)|Consume Alcohol|Cool|Gamble|Intimidate|Language (Classical)|Language (Guilder)|Language (Thieves Tongue)|Lore (Heraldry)|Entertain (Storytelling)|Language (any)|Leadership|Lore (any)|Perform (Dancing)|Ride (Horse)|</t>
        </is>
      </c>
      <c r="K5" t="inlineStr">
        <is>
          <t>|Beneath Notice|Etiquette (any)|Gregarious|Read/Write|Criminal|Embezzle|Schemer|Supportive|Argumentative|Briber|Cat-tongued|Kingpin|Carouser|Commanding Presence|Noble Blood|Suave|</t>
        </is>
      </c>
      <c r="L5" t="inlineStr">
        <is>
          <t>Wise and well-informed, you provide insight and guidance to your employer.</t>
        </is>
      </c>
      <c r="M5" t="inlineStr">
        <is>
          <t>Lore (Politics)</t>
        </is>
      </c>
      <c r="N5" t="inlineStr">
        <is>
          <t>Dwarf, Halfling, High Elf, Human, Wood Elf</t>
        </is>
      </c>
      <c r="O5" t="n">
        <v>45</v>
      </c>
      <c r="T5" t="n">
        <v>2</v>
      </c>
      <c r="U5" t="n">
        <v>4</v>
      </c>
      <c r="V5" t="n">
        <v>1</v>
      </c>
      <c r="W5" t="n">
        <v>1</v>
      </c>
      <c r="X5" t="n">
        <v>3</v>
      </c>
      <c r="Y5" t="n">
        <v>1</v>
      </c>
    </row>
    <row r="6">
      <c r="A6" t="inlineStr">
        <is>
          <t>Agitator|1</t>
        </is>
      </c>
      <c r="B6" t="inlineStr">
        <is>
          <t>Agitator</t>
        </is>
      </c>
      <c r="C6" t="n">
        <v>1</v>
      </c>
      <c r="D6" t="inlineStr">
        <is>
          <t>Burgher</t>
        </is>
      </c>
      <c r="E6" t="inlineStr">
        <is>
          <t>Pamphleteer</t>
        </is>
      </c>
      <c r="F6" t="inlineStr">
        <is>
          <t>Brass 1</t>
        </is>
      </c>
      <c r="G6" t="inlineStr">
        <is>
          <t>Art (Writing), Charm, Consume Alcohol, Entertain (Storytelling), Gossip, Haggle, Lore (Local), Lore (Politics), Trade (Printing), Stealth (Urban)</t>
        </is>
      </c>
      <c r="H6" t="inlineStr">
        <is>
          <t>Blather, Gregarious, Panhandle, Read/Write</t>
        </is>
      </c>
      <c r="I6" t="inlineStr">
        <is>
          <t>Hammer and Nails, Pile of Leaflets, Writing Kit</t>
        </is>
      </c>
      <c r="J6" t="inlineStr">
        <is>
          <t>|Art (Writing)|Charm|Consume Alcohol|Entertain (Storytelling)|Gossip|Haggle|Lore (Local)|Lore (Politics)|Trade (Printing)|Stealth (Urban)|</t>
        </is>
      </c>
      <c r="K6" t="inlineStr">
        <is>
          <t>|Blather|Gregarious|Panhandle|Read/Write|</t>
        </is>
      </c>
      <c r="L6" t="inlineStr">
        <is>
          <t>Charismatic and articulate, you champion your cause and try to change the world.</t>
        </is>
      </c>
      <c r="M6" t="inlineStr">
        <is>
          <t>Charm</t>
        </is>
      </c>
      <c r="N6" t="inlineStr">
        <is>
          <t>Dwarf, Halfling, Human</t>
        </is>
      </c>
      <c r="O6" t="n">
        <v>46</v>
      </c>
      <c r="P6" t="n">
        <v>3</v>
      </c>
      <c r="T6" t="n">
        <v>2</v>
      </c>
      <c r="U6" t="n">
        <v>1</v>
      </c>
      <c r="W6" t="n">
        <v>1</v>
      </c>
      <c r="X6" t="n">
        <v>4</v>
      </c>
      <c r="Y6" t="n">
        <v>1</v>
      </c>
    </row>
    <row r="7">
      <c r="A7" t="inlineStr">
        <is>
          <t>Agitator|2</t>
        </is>
      </c>
      <c r="B7" t="inlineStr">
        <is>
          <t>Agitator</t>
        </is>
      </c>
      <c r="C7" t="n">
        <v>2</v>
      </c>
      <c r="D7" t="inlineStr">
        <is>
          <t>Burgher</t>
        </is>
      </c>
      <c r="E7" t="inlineStr">
        <is>
          <t>Agitator</t>
        </is>
      </c>
      <c r="F7" t="inlineStr">
        <is>
          <t>Brass 2</t>
        </is>
      </c>
      <c r="G7" t="inlineStr">
        <is>
          <t>Cool, Dodge, Gamble, Intuition, Leadership, Melee (Brawling)</t>
        </is>
      </c>
      <c r="H7" t="inlineStr">
        <is>
          <t>Alley Cat, Argumentative, Impassioned Zeal, Public Speaker</t>
        </is>
      </c>
      <c r="I7" t="inlineStr">
        <is>
          <t>Leather Jack, Sturdy Crate</t>
        </is>
      </c>
      <c r="J7" t="inlineStr">
        <is>
          <t>|Art (Writing)|Charm|Consume Alcohol|Entertain (Storytelling)|Gossip|Haggle|Lore (Local)|Lore (Politics)|Trade (Printing)|Stealth (Urban)|Cool|Dodge|Gamble|Intuition|Leadership|Melee (Brawling)|</t>
        </is>
      </c>
      <c r="K7" t="inlineStr">
        <is>
          <t>|Blather|Gregarious|Panhandle|Read/Write|Alley Cat|Argumentative|Impassioned Zeal|Public Speaker|</t>
        </is>
      </c>
      <c r="L7" t="inlineStr">
        <is>
          <t>Charismatic and articulate, you champion your cause and try to change the world.</t>
        </is>
      </c>
      <c r="M7" t="inlineStr">
        <is>
          <t>Charm</t>
        </is>
      </c>
      <c r="N7" t="inlineStr">
        <is>
          <t>Dwarf, Halfling, Human</t>
        </is>
      </c>
      <c r="O7" t="n">
        <v>46</v>
      </c>
      <c r="P7" t="n">
        <v>3</v>
      </c>
      <c r="T7" t="n">
        <v>2</v>
      </c>
      <c r="U7" t="n">
        <v>1</v>
      </c>
      <c r="W7" t="n">
        <v>1</v>
      </c>
      <c r="X7" t="n">
        <v>4</v>
      </c>
      <c r="Y7" t="n">
        <v>1</v>
      </c>
    </row>
    <row r="8">
      <c r="A8" t="inlineStr">
        <is>
          <t>Agitator|3</t>
        </is>
      </c>
      <c r="B8" t="inlineStr">
        <is>
          <t>Agitator</t>
        </is>
      </c>
      <c r="C8" t="n">
        <v>3</v>
      </c>
      <c r="D8" t="inlineStr">
        <is>
          <t>Burgher</t>
        </is>
      </c>
      <c r="E8" t="inlineStr">
        <is>
          <t>Rabble Rouser</t>
        </is>
      </c>
      <c r="F8" t="inlineStr">
        <is>
          <t>Brass 3</t>
        </is>
      </c>
      <c r="G8" t="inlineStr">
        <is>
          <t>Athletics, Intimidate, Perception, Ranged (Throwing)</t>
        </is>
      </c>
      <c r="H8" t="inlineStr">
        <is>
          <t>Cat-tongued, Dirty Fighting, Flee!, Step Aside</t>
        </is>
      </c>
      <c r="I8" t="inlineStr">
        <is>
          <t>Hand Weapon, Pamphleteer</t>
        </is>
      </c>
      <c r="J8" t="inlineStr">
        <is>
          <t>|Art (Writing)|Charm|Consume Alcohol|Entertain (Storytelling)|Gossip|Haggle|Lore (Local)|Lore (Politics)|Trade (Printing)|Stealth (Urban)|Cool|Dodge|Gamble|Intuition|Leadership|Melee (Brawling)|Athletics|Intimidate|Perception|Ranged (Throwing)|</t>
        </is>
      </c>
      <c r="K8" t="inlineStr">
        <is>
          <t>|Blather|Gregarious|Panhandle|Read/Write|Alley Cat|Argumentative|Impassioned Zeal|Public Speaker|Cat-tongued|Dirty Fighting|Flee!|Step Aside|</t>
        </is>
      </c>
      <c r="L8" t="inlineStr">
        <is>
          <t>Charismatic and articulate, you champion your cause and try to change the world.</t>
        </is>
      </c>
      <c r="M8" t="inlineStr">
        <is>
          <t>Charm</t>
        </is>
      </c>
      <c r="N8" t="inlineStr">
        <is>
          <t>Dwarf, Halfling, Human</t>
        </is>
      </c>
      <c r="O8" t="n">
        <v>46</v>
      </c>
      <c r="P8" t="n">
        <v>3</v>
      </c>
      <c r="T8" t="n">
        <v>2</v>
      </c>
      <c r="U8" t="n">
        <v>1</v>
      </c>
      <c r="W8" t="n">
        <v>1</v>
      </c>
      <c r="X8" t="n">
        <v>4</v>
      </c>
      <c r="Y8" t="n">
        <v>1</v>
      </c>
    </row>
    <row r="9">
      <c r="A9" t="inlineStr">
        <is>
          <t>Agitator|4</t>
        </is>
      </c>
      <c r="B9" t="inlineStr">
        <is>
          <t>Agitator</t>
        </is>
      </c>
      <c r="C9" t="n">
        <v>4</v>
      </c>
      <c r="D9" t="inlineStr">
        <is>
          <t>Burgher</t>
        </is>
      </c>
      <c r="E9" t="inlineStr">
        <is>
          <t>Demagogue</t>
        </is>
      </c>
      <c r="F9" t="inlineStr">
        <is>
          <t>Brass 5</t>
        </is>
      </c>
      <c r="G9" t="inlineStr">
        <is>
          <t>Bribery, Lore (Heraldry)</t>
        </is>
      </c>
      <c r="H9" t="inlineStr">
        <is>
          <t>Etiquette (All), Master Orator, Schemer, Suave</t>
        </is>
      </c>
      <c r="I9" t="inlineStr">
        <is>
          <t>Impressive Hat, 3 Pamphleteers, Patron, Printing Press</t>
        </is>
      </c>
      <c r="J9" t="inlineStr">
        <is>
          <t>|Art (Writing)|Charm|Consume Alcohol|Entertain (Storytelling)|Gossip|Haggle|Lore (Local)|Lore (Politics)|Trade (Printing)|Stealth (Urban)|Cool|Dodge|Gamble|Intuition|Leadership|Melee (Brawling)|Athletics|Intimidate|Perception|Ranged (Throwing)|Bribery|Lore (Heraldry)|</t>
        </is>
      </c>
      <c r="K9" t="inlineStr">
        <is>
          <t>|Blather|Gregarious|Panhandle|Read/Write|Alley Cat|Argumentative|Impassioned Zeal|Public Speaker|Cat-tongued|Dirty Fighting|Flee!|Step Aside|Etiquette (any)|Master Orator|Schemer|Suave|</t>
        </is>
      </c>
      <c r="L9" t="inlineStr">
        <is>
          <t>Charismatic and articulate, you champion your cause and try to change the world.</t>
        </is>
      </c>
      <c r="M9" t="inlineStr">
        <is>
          <t>Charm</t>
        </is>
      </c>
      <c r="N9" t="inlineStr">
        <is>
          <t>Dwarf, Halfling, Human</t>
        </is>
      </c>
      <c r="O9" t="n">
        <v>46</v>
      </c>
      <c r="P9" t="n">
        <v>3</v>
      </c>
      <c r="T9" t="n">
        <v>2</v>
      </c>
      <c r="U9" t="n">
        <v>1</v>
      </c>
      <c r="W9" t="n">
        <v>1</v>
      </c>
      <c r="X9" t="n">
        <v>4</v>
      </c>
      <c r="Y9" t="n">
        <v>1</v>
      </c>
    </row>
    <row r="10">
      <c r="A10" t="inlineStr">
        <is>
          <t>Apothecary|1</t>
        </is>
      </c>
      <c r="B10" t="inlineStr">
        <is>
          <t>Apothecary</t>
        </is>
      </c>
      <c r="C10" t="n">
        <v>1</v>
      </c>
      <c r="D10" t="inlineStr">
        <is>
          <t>Academic</t>
        </is>
      </c>
      <c r="E10" t="inlineStr">
        <is>
          <t>Apothecary's Apprentice</t>
        </is>
      </c>
      <c r="F10" t="inlineStr">
        <is>
          <t>Brass 3</t>
        </is>
      </c>
      <c r="G10" t="inlineStr">
        <is>
          <t>Consume Alcohol, Endurance, Haggle, Heal, Language (Classical), Lore (Chemistry), Lore (Medicine), Perception, Trade (Apothecary), Trade (Poisoner)</t>
        </is>
      </c>
      <c r="H10" t="inlineStr">
        <is>
          <t>Acute Sense (Taste), Concoct, Craftsman (Apothecary), Read/Write</t>
        </is>
      </c>
      <c r="I10" t="inlineStr">
        <is>
          <t>Book (Blank), Leather Jerkin, Pestle and Mortar</t>
        </is>
      </c>
      <c r="J10" t="inlineStr">
        <is>
          <t>|Consume Alcohol|Endurance|Haggle|Heal|Language (Classical)|Lore (Chemistry)|Lore (Medicine)|Perception|Trade (Apothecary)|Trade (Poisoner)|</t>
        </is>
      </c>
      <c r="K10" t="inlineStr">
        <is>
          <t>|Acute Sense (Taste)|Concoct|Craftsman (Apothecary)|Read/Write|</t>
        </is>
      </c>
      <c r="L10" t="inlineStr">
        <is>
          <t>You use your knowledge of chemistry and concoction to mix and trade all manner of medicines and remedies.</t>
        </is>
      </c>
      <c r="M10" t="inlineStr">
        <is>
          <t>Trade (Apothecary)</t>
        </is>
      </c>
      <c r="N10" t="inlineStr">
        <is>
          <t>Dwarf, Halfling, High Elf, Human</t>
        </is>
      </c>
      <c r="O10" t="n">
        <v>47</v>
      </c>
      <c r="S10" t="n">
        <v>3</v>
      </c>
      <c r="T10" t="n">
        <v>1</v>
      </c>
      <c r="V10" t="n">
        <v>1</v>
      </c>
      <c r="W10" t="n">
        <v>1</v>
      </c>
      <c r="X10" t="n">
        <v>4</v>
      </c>
      <c r="Y10" t="n">
        <v>2</v>
      </c>
    </row>
    <row r="11">
      <c r="A11" t="inlineStr">
        <is>
          <t>Apothecary|2</t>
        </is>
      </c>
      <c r="B11" t="inlineStr">
        <is>
          <t>Apothecary</t>
        </is>
      </c>
      <c r="C11" t="n">
        <v>2</v>
      </c>
      <c r="D11" t="inlineStr">
        <is>
          <t>Academic</t>
        </is>
      </c>
      <c r="E11" t="inlineStr">
        <is>
          <t>Apothecary</t>
        </is>
      </c>
      <c r="F11" t="inlineStr">
        <is>
          <t>Silver 1</t>
        </is>
      </c>
      <c r="G11" t="inlineStr">
        <is>
          <t>Charm, Evaluate, Gossip, Language (Guilder), Secret Signs (Guilder), Stealth (Urban)</t>
        </is>
      </c>
      <c r="H11" t="inlineStr">
        <is>
          <t>Criminal, Dealmaker, Etiquette (Guilder), Pharmacist</t>
        </is>
      </c>
      <c r="I11" t="inlineStr">
        <is>
          <t>Guild Licence, Trade Tools (Apothecary)</t>
        </is>
      </c>
      <c r="J11" t="inlineStr">
        <is>
          <t>|Consume Alcohol|Endurance|Haggle|Heal|Language (Classical)|Lore (Chemistry)|Lore (Medicine)|Perception|Trade (Apothecary)|Trade (Poisoner)|Charm|Evaluate|Gossip|Language (Guilder)|Secret Signs (Guilder)|Stealth (Urban)|</t>
        </is>
      </c>
      <c r="K11" t="inlineStr">
        <is>
          <t>|Acute Sense (Taste)|Concoct|Craftsman (Apothecary)|Read/Write|Criminal|Dealmaker|Etiquette (Guilder)|Pharmacist|</t>
        </is>
      </c>
      <c r="L11" t="inlineStr">
        <is>
          <t>You use your knowledge of chemistry and concoction to mix and trade all manner of medicines and remedies.</t>
        </is>
      </c>
      <c r="M11" t="inlineStr">
        <is>
          <t>Trade (Apothecary)</t>
        </is>
      </c>
      <c r="N11" t="inlineStr">
        <is>
          <t>Dwarf, Halfling, High Elf, Human</t>
        </is>
      </c>
      <c r="O11" t="n">
        <v>47</v>
      </c>
      <c r="S11" t="n">
        <v>3</v>
      </c>
      <c r="T11" t="n">
        <v>1</v>
      </c>
      <c r="V11" t="n">
        <v>1</v>
      </c>
      <c r="W11" t="n">
        <v>1</v>
      </c>
      <c r="X11" t="n">
        <v>4</v>
      </c>
      <c r="Y11" t="n">
        <v>2</v>
      </c>
    </row>
    <row r="12">
      <c r="A12" t="inlineStr">
        <is>
          <t>Apothecary|3</t>
        </is>
      </c>
      <c r="B12" t="inlineStr">
        <is>
          <t>Apothecary</t>
        </is>
      </c>
      <c r="C12" t="n">
        <v>3</v>
      </c>
      <c r="D12" t="inlineStr">
        <is>
          <t>Academic</t>
        </is>
      </c>
      <c r="E12" t="inlineStr">
        <is>
          <t>Master Apothecary</t>
        </is>
      </c>
      <c r="F12" t="inlineStr">
        <is>
          <t>Silver 3</t>
        </is>
      </c>
      <c r="G12" t="inlineStr">
        <is>
          <t>Intuition, Leadership, Lore (Science), Research</t>
        </is>
      </c>
      <c r="H12" t="inlineStr">
        <is>
          <t>Bookish, Etiquette (Criminals or Scholars), Master Tradesman (Apothecary), Resistant (Poison)</t>
        </is>
      </c>
      <c r="I12" t="inlineStr">
        <is>
          <t>Apprentice, Book (Apothecary), Workshop (Apothecary)</t>
        </is>
      </c>
      <c r="J12" t="inlineStr">
        <is>
          <t>|Consume Alcohol|Endurance|Haggle|Heal|Language (Classical)|Lore (Chemistry)|Lore (Medicine)|Perception|Trade (Apothecary)|Trade (Poisoner)|Charm|Evaluate|Gossip|Language (Guilder)|Secret Signs (Guilder)|Stealth (Urban)|Intuition|Leadership|Lore (Science)|Research|</t>
        </is>
      </c>
      <c r="K12" t="inlineStr">
        <is>
          <t>|Acute Sense (Taste)|Concoct|Craftsman (Apothecary)|Read/Write|Criminal|Dealmaker|Etiquette (Guilder)|Pharmacist|Bookish|Etiquette (Criminals)|Etiquette (Scholars)|Master Tradesman (Apothecary)|Resistant (Poison)|</t>
        </is>
      </c>
      <c r="L12" t="inlineStr">
        <is>
          <t>You use your knowledge of chemistry and concoction to mix and trade all manner of medicines and remedies.</t>
        </is>
      </c>
      <c r="M12" t="inlineStr">
        <is>
          <t>Trade (Apothecary)</t>
        </is>
      </c>
      <c r="N12" t="inlineStr">
        <is>
          <t>Dwarf, Halfling, High Elf, Human</t>
        </is>
      </c>
      <c r="O12" t="n">
        <v>47</v>
      </c>
      <c r="S12" t="n">
        <v>3</v>
      </c>
      <c r="T12" t="n">
        <v>1</v>
      </c>
      <c r="V12" t="n">
        <v>1</v>
      </c>
      <c r="W12" t="n">
        <v>1</v>
      </c>
      <c r="X12" t="n">
        <v>4</v>
      </c>
      <c r="Y12" t="n">
        <v>2</v>
      </c>
    </row>
    <row r="13">
      <c r="A13" t="inlineStr">
        <is>
          <t>Apothecary|4</t>
        </is>
      </c>
      <c r="B13" t="inlineStr">
        <is>
          <t>Apothecary</t>
        </is>
      </c>
      <c r="C13" t="n">
        <v>4</v>
      </c>
      <c r="D13" t="inlineStr">
        <is>
          <t>Academic</t>
        </is>
      </c>
      <c r="E13" t="inlineStr">
        <is>
          <t>Apothecary General</t>
        </is>
      </c>
      <c r="F13" t="inlineStr">
        <is>
          <t>Gold 1</t>
        </is>
      </c>
      <c r="G13" t="inlineStr">
        <is>
          <t>Bribery, Intimidate</t>
        </is>
      </c>
      <c r="H13" t="inlineStr">
        <is>
          <t>Coolheaded, Kingpin, Savant (Chemistry), Savvy</t>
        </is>
      </c>
      <c r="I13" t="inlineStr">
        <is>
          <t>Commission Papers, Large Workshop (Apothecary)</t>
        </is>
      </c>
      <c r="J13" t="inlineStr">
        <is>
          <t>|Consume Alcohol|Endurance|Haggle|Heal|Language (Classical)|Lore (Chemistry)|Lore (Medicine)|Perception|Trade (Apothecary)|Trade (Poisoner)|Charm|Evaluate|Gossip|Language (Guilder)|Secret Signs (Guilder)|Stealth (Urban)|Intuition|Leadership|Lore (Science)|Research|Bribery|Intimidate|</t>
        </is>
      </c>
      <c r="K13" t="inlineStr">
        <is>
          <t>|Acute Sense (Taste)|Concoct|Craftsman (Apothecary)|Read/Write|Criminal|Dealmaker|Etiquette (Guilder)|Pharmacist|Bookish|Etiquette (Criminals)|Etiquette (Scholars)|Master Tradesman (Apothecary)|Resistant (Poison)|Coolheaded|Kingpin|Savant (Chemistry)|Savvy|</t>
        </is>
      </c>
      <c r="L13" t="inlineStr">
        <is>
          <t>You use your knowledge of chemistry and concoction to mix and trade all manner of medicines and remedies.</t>
        </is>
      </c>
      <c r="M13" t="inlineStr">
        <is>
          <t>Trade (Apothecary)</t>
        </is>
      </c>
      <c r="N13" t="inlineStr">
        <is>
          <t>Dwarf, Halfling, High Elf, Human</t>
        </is>
      </c>
      <c r="O13" t="n">
        <v>47</v>
      </c>
      <c r="S13" t="n">
        <v>3</v>
      </c>
      <c r="T13" t="n">
        <v>1</v>
      </c>
      <c r="V13" t="n">
        <v>1</v>
      </c>
      <c r="W13" t="n">
        <v>1</v>
      </c>
      <c r="X13" t="n">
        <v>4</v>
      </c>
      <c r="Y13" t="n">
        <v>2</v>
      </c>
    </row>
    <row r="14">
      <c r="A14" t="inlineStr">
        <is>
          <t>Artisan|1</t>
        </is>
      </c>
      <c r="B14" t="inlineStr">
        <is>
          <t>Artisan</t>
        </is>
      </c>
      <c r="C14" t="n">
        <v>1</v>
      </c>
      <c r="D14" t="inlineStr">
        <is>
          <t>Burgher</t>
        </is>
      </c>
      <c r="E14" t="inlineStr">
        <is>
          <t>Apprentice Artisan</t>
        </is>
      </c>
      <c r="F14" t="inlineStr">
        <is>
          <t>Brass 2</t>
        </is>
      </c>
      <c r="G14" t="inlineStr">
        <is>
          <t>Art (Any One), Athletics, Consume Alcohol, Cool, Dodge, Haggle, Endurance, Evaluate, Pick Lock, Trade (Any One)</t>
        </is>
      </c>
      <c r="H14" t="inlineStr">
        <is>
          <t>Craftsman (as Trade), Strong Back, Tenacious, Very Strong</t>
        </is>
      </c>
      <c r="I14" t="inlineStr">
        <is>
          <t>Chalk, Leather Jerkin, 1d10 Rags</t>
        </is>
      </c>
      <c r="J14" t="inlineStr">
        <is>
          <t>|Art (any)|Athletics|Consume Alcohol|Cool|Dodge|Haggle|Endurance|Evaluate|Pick Lock|Trade (any)|</t>
        </is>
      </c>
      <c r="K14" t="inlineStr">
        <is>
          <t>|Craftsman (any)|Strong Back|Tenacious|Very Strong|</t>
        </is>
      </c>
      <c r="L14" t="inlineStr">
        <is>
          <t>A skilled craftsperson, you take pride in your work, creating products for sale and commission.</t>
        </is>
      </c>
      <c r="M14" t="inlineStr">
        <is>
          <t>Trade (Any One)</t>
        </is>
      </c>
      <c r="N14" t="inlineStr">
        <is>
          <t>Dwarf, Halfling, High Elf, Human, Wood Elf</t>
        </is>
      </c>
      <c r="O14" t="n">
        <v>48</v>
      </c>
      <c r="R14" t="n">
        <v>1</v>
      </c>
      <c r="S14" t="n">
        <v>1</v>
      </c>
      <c r="V14" t="n">
        <v>1</v>
      </c>
      <c r="W14" t="n">
        <v>3</v>
      </c>
      <c r="X14" t="n">
        <v>4</v>
      </c>
      <c r="Y14" t="n">
        <v>2</v>
      </c>
    </row>
    <row r="15">
      <c r="A15" t="inlineStr">
        <is>
          <t>Artisan|2</t>
        </is>
      </c>
      <c r="B15" t="inlineStr">
        <is>
          <t>Artisan</t>
        </is>
      </c>
      <c r="C15" t="n">
        <v>2</v>
      </c>
      <c r="D15" t="inlineStr">
        <is>
          <t>Burgher</t>
        </is>
      </c>
      <c r="E15" t="inlineStr">
        <is>
          <t>Artisan</t>
        </is>
      </c>
      <c r="F15" t="inlineStr">
        <is>
          <t>Silver 1</t>
        </is>
      </c>
      <c r="G15" t="inlineStr">
        <is>
          <t>Charm, Drive, Lore (Local), Gossip, Language (Guilder), Perception</t>
        </is>
      </c>
      <c r="H15" t="inlineStr">
        <is>
          <t>Dealmaker, Etiquette (Guilder), Nimble-fingered, Sturdy</t>
        </is>
      </c>
      <c r="I15" t="inlineStr">
        <is>
          <t>Guild Licence, Trade Tools (as Trade)</t>
        </is>
      </c>
      <c r="J15" t="inlineStr">
        <is>
          <t>|Art (any)|Athletics|Consume Alcohol|Cool|Dodge|Haggle|Endurance|Evaluate|Pick Lock|Trade (any)|Charm|Drive|Lore (Local)|Gossip|Language (Guilder)|Perception|</t>
        </is>
      </c>
      <c r="K15" t="inlineStr">
        <is>
          <t>|Craftsman (any)|Strong Back|Tenacious|Very Strong|Dealmaker|Etiquette (Guilder)|Nimble-fingered|Sturdy|</t>
        </is>
      </c>
      <c r="L15" t="inlineStr">
        <is>
          <t>A skilled craftsperson, you take pride in your work, creating products for sale and commission.</t>
        </is>
      </c>
      <c r="M15" t="inlineStr">
        <is>
          <t>Trade (Any One)</t>
        </is>
      </c>
      <c r="N15" t="inlineStr">
        <is>
          <t>Dwarf, Halfling, High Elf, Human, Wood Elf</t>
        </is>
      </c>
      <c r="O15" t="n">
        <v>48</v>
      </c>
      <c r="R15" t="n">
        <v>1</v>
      </c>
      <c r="S15" t="n">
        <v>1</v>
      </c>
      <c r="V15" t="n">
        <v>1</v>
      </c>
      <c r="W15" t="n">
        <v>3</v>
      </c>
      <c r="X15" t="n">
        <v>4</v>
      </c>
      <c r="Y15" t="n">
        <v>2</v>
      </c>
    </row>
    <row r="16">
      <c r="A16" t="inlineStr">
        <is>
          <t>Artisan|3</t>
        </is>
      </c>
      <c r="B16" t="inlineStr">
        <is>
          <t>Artisan</t>
        </is>
      </c>
      <c r="C16" t="n">
        <v>3</v>
      </c>
      <c r="D16" t="inlineStr">
        <is>
          <t>Burgher</t>
        </is>
      </c>
      <c r="E16" t="inlineStr">
        <is>
          <t>Master Artisan</t>
        </is>
      </c>
      <c r="F16" t="inlineStr">
        <is>
          <t>Silver 3</t>
        </is>
      </c>
      <c r="G16" t="inlineStr">
        <is>
          <t>Intuition, Leadership, Research, Secret Signs (Guilder)</t>
        </is>
      </c>
      <c r="H16" t="inlineStr">
        <is>
          <t>Acute Sense (Taste or Touch), Master Tradesman (as Trade), Read/Write, Tinker</t>
        </is>
      </c>
      <c r="I16" t="inlineStr">
        <is>
          <t>Apprentice, Workshop (as Trade)</t>
        </is>
      </c>
      <c r="J16" t="inlineStr">
        <is>
          <t>|Art (any)|Athletics|Consume Alcohol|Cool|Dodge|Haggle|Endurance|Evaluate|Pick Lock|Trade (any)|Charm|Drive|Lore (Local)|Gossip|Language (Guilder)|Perception|Intuition|Leadership|Research|Secret Signs (Guilder)|</t>
        </is>
      </c>
      <c r="K16" t="inlineStr">
        <is>
          <t>|Craftsman (any)|Strong Back|Tenacious|Very Strong|Dealmaker|Etiquette (Guilder)|Nimble-fingered|Sturdy|Acute Sense (Taste)|Acute Sense (Touch)|Master Tradesman (any)|Read/Write|Tinker|</t>
        </is>
      </c>
      <c r="L16" t="inlineStr">
        <is>
          <t>A skilled craftsperson, you take pride in your work, creating products for sale and commission.</t>
        </is>
      </c>
      <c r="M16" t="inlineStr">
        <is>
          <t>Trade (Any One)</t>
        </is>
      </c>
      <c r="N16" t="inlineStr">
        <is>
          <t>Dwarf, Halfling, High Elf, Human, Wood Elf</t>
        </is>
      </c>
      <c r="O16" t="n">
        <v>48</v>
      </c>
      <c r="R16" t="n">
        <v>1</v>
      </c>
      <c r="S16" t="n">
        <v>1</v>
      </c>
      <c r="V16" t="n">
        <v>1</v>
      </c>
      <c r="W16" t="n">
        <v>3</v>
      </c>
      <c r="X16" t="n">
        <v>4</v>
      </c>
      <c r="Y16" t="n">
        <v>2</v>
      </c>
    </row>
    <row r="17">
      <c r="A17" t="inlineStr">
        <is>
          <t>Artisan|4</t>
        </is>
      </c>
      <c r="B17" t="inlineStr">
        <is>
          <t>Artisan</t>
        </is>
      </c>
      <c r="C17" t="n">
        <v>4</v>
      </c>
      <c r="D17" t="inlineStr">
        <is>
          <t>Burgher</t>
        </is>
      </c>
      <c r="E17" t="inlineStr">
        <is>
          <t>Guildmaster</t>
        </is>
      </c>
      <c r="F17" t="inlineStr">
        <is>
          <t>Gold 1</t>
        </is>
      </c>
      <c r="G17" t="inlineStr">
        <is>
          <t>Bribery, Intimidate</t>
        </is>
      </c>
      <c r="H17" t="inlineStr">
        <is>
          <t>Briber, Magnum Opus, Public Speaker, Schemer</t>
        </is>
      </c>
      <c r="I17" t="inlineStr">
        <is>
          <t>Guild, Quality Clothing</t>
        </is>
      </c>
      <c r="J17" t="inlineStr">
        <is>
          <t>|Art (any)|Athletics|Consume Alcohol|Cool|Dodge|Haggle|Endurance|Evaluate|Pick Lock|Trade (any)|Charm|Drive|Lore (Local)|Gossip|Language (Guilder)|Perception|Intuition|Leadership|Research|Secret Signs (Guilder)|Bribery|Intimidate|</t>
        </is>
      </c>
      <c r="K17" t="inlineStr">
        <is>
          <t>|Craftsman (any)|Strong Back|Tenacious|Very Strong|Dealmaker|Etiquette (Guilder)|Nimble-fingered|Sturdy|Acute Sense (Taste)|Acute Sense (Touch)|Master Tradesman (any)|Read/Write|Tinker|Briber|Magnum Opus|Public Speaker|Schemer|</t>
        </is>
      </c>
      <c r="L17" t="inlineStr">
        <is>
          <t>A skilled craftsperson, you take pride in your work, creating products for sale and commission.</t>
        </is>
      </c>
      <c r="M17" t="inlineStr">
        <is>
          <t>Trade (Any One)</t>
        </is>
      </c>
      <c r="N17" t="inlineStr">
        <is>
          <t>Dwarf, Halfling, High Elf, Human, Wood Elf</t>
        </is>
      </c>
      <c r="O17" t="n">
        <v>48</v>
      </c>
      <c r="R17" t="n">
        <v>1</v>
      </c>
      <c r="S17" t="n">
        <v>1</v>
      </c>
      <c r="V17" t="n">
        <v>1</v>
      </c>
      <c r="W17" t="n">
        <v>3</v>
      </c>
      <c r="X17" t="n">
        <v>4</v>
      </c>
      <c r="Y17" t="n">
        <v>2</v>
      </c>
    </row>
    <row r="18">
      <c r="A18" t="inlineStr">
        <is>
          <t>Artist|1</t>
        </is>
      </c>
      <c r="B18" t="inlineStr">
        <is>
          <t>Artist</t>
        </is>
      </c>
      <c r="C18" t="n">
        <v>1</v>
      </c>
      <c r="D18" t="inlineStr">
        <is>
          <t>Courtier</t>
        </is>
      </c>
      <c r="E18" t="inlineStr">
        <is>
          <t>Apprentice Artist</t>
        </is>
      </c>
      <c r="F18" t="inlineStr">
        <is>
          <t>Brass 2</t>
        </is>
      </c>
      <c r="G18" t="inlineStr">
        <is>
          <t>Art (Any One), Charm, Climb, Consume Alcohol, Evaluate, Gossip, Intuition, Lore (Art), Perception, Trade (Art Supplies)</t>
        </is>
      </c>
      <c r="H18" t="inlineStr">
        <is>
          <t>Artistic, Read/Write, Sharp, Strong Back</t>
        </is>
      </c>
      <c r="I18" t="inlineStr">
        <is>
          <t>Brush or Chisel or Writing Kit</t>
        </is>
      </c>
      <c r="J18" t="inlineStr">
        <is>
          <t>|Art (any)|Charm|Climb|Consume Alcohol|Evaluate|Gossip|Intuition|Lore (Art)|Perception|Trade (Art Supplies)|</t>
        </is>
      </c>
      <c r="K18" t="inlineStr">
        <is>
          <t>|Artistic|Read/Write|Sharp|Strong Back|</t>
        </is>
      </c>
      <c r="L18" t="inlineStr">
        <is>
          <t>You possess an artistic gift, and strive to create works that uplift the soul… or at least pay the bills.</t>
        </is>
      </c>
      <c r="M18" t="inlineStr">
        <is>
          <t>Art (Any One)</t>
        </is>
      </c>
      <c r="N18" t="inlineStr">
        <is>
          <t>Dwarf, Halfling, High Elf, Human, Wood Elf</t>
        </is>
      </c>
      <c r="O18" t="n">
        <v>49</v>
      </c>
      <c r="R18" t="n">
        <v>1</v>
      </c>
      <c r="T18" t="n">
        <v>1</v>
      </c>
      <c r="V18" t="n">
        <v>1</v>
      </c>
      <c r="W18" t="n">
        <v>3</v>
      </c>
      <c r="X18" t="n">
        <v>4</v>
      </c>
      <c r="Y18" t="n">
        <v>2</v>
      </c>
    </row>
    <row r="19">
      <c r="A19" t="inlineStr">
        <is>
          <t>Artist|2</t>
        </is>
      </c>
      <c r="B19" t="inlineStr">
        <is>
          <t>Artist</t>
        </is>
      </c>
      <c r="C19" t="n">
        <v>2</v>
      </c>
      <c r="D19" t="inlineStr">
        <is>
          <t>Courtier</t>
        </is>
      </c>
      <c r="E19" t="inlineStr">
        <is>
          <t>Artist</t>
        </is>
      </c>
      <c r="F19" t="inlineStr">
        <is>
          <t>Silver 1</t>
        </is>
      </c>
      <c r="G19" t="inlineStr">
        <is>
          <t>Endurance, Entertain (Storytelling), Gamble, Haggle, Lore (Heraldry), Melee (Fencing)</t>
        </is>
      </c>
      <c r="H19" t="inlineStr">
        <is>
          <t>Attractive, Carouser, Gregarious, Nimble-fingered</t>
        </is>
      </c>
      <c r="I19" t="inlineStr">
        <is>
          <t>Sling Bag containing Trade Tools (Artist)</t>
        </is>
      </c>
      <c r="J19" t="inlineStr">
        <is>
          <t>|Art (any)|Charm|Climb|Consume Alcohol|Evaluate|Gossip|Intuition|Lore (Art)|Perception|Trade (Art Supplies)|Endurance|Entertain (Storytelling)|Gamble|Haggle|Lore (Heraldry)|Melee (Fencing)|</t>
        </is>
      </c>
      <c r="K19" t="inlineStr">
        <is>
          <t>|Artistic|Read/Write|Sharp|Strong Back|Attractive|Carouser|Gregarious|Nimble-fingered|</t>
        </is>
      </c>
      <c r="L19" t="inlineStr">
        <is>
          <t>You possess an artistic gift, and strive to create works that uplift the soul… or at least pay the bills.</t>
        </is>
      </c>
      <c r="M19" t="inlineStr">
        <is>
          <t>Art (Any One)</t>
        </is>
      </c>
      <c r="N19" t="inlineStr">
        <is>
          <t>Dwarf, Halfling, High Elf, Human, Wood Elf</t>
        </is>
      </c>
      <c r="O19" t="n">
        <v>49</v>
      </c>
      <c r="R19" t="n">
        <v>1</v>
      </c>
      <c r="T19" t="n">
        <v>1</v>
      </c>
      <c r="V19" t="n">
        <v>1</v>
      </c>
      <c r="W19" t="n">
        <v>3</v>
      </c>
      <c r="X19" t="n">
        <v>4</v>
      </c>
      <c r="Y19" t="n">
        <v>2</v>
      </c>
    </row>
    <row r="20">
      <c r="A20" t="inlineStr">
        <is>
          <t>Artist|3</t>
        </is>
      </c>
      <c r="B20" t="inlineStr">
        <is>
          <t>Artist</t>
        </is>
      </c>
      <c r="C20" t="n">
        <v>3</v>
      </c>
      <c r="D20" t="inlineStr">
        <is>
          <t>Courtier</t>
        </is>
      </c>
      <c r="E20" t="inlineStr">
        <is>
          <t>Master Artist</t>
        </is>
      </c>
      <c r="F20" t="inlineStr">
        <is>
          <t>Silver 4</t>
        </is>
      </c>
      <c r="G20" t="inlineStr">
        <is>
          <t>Leadership, Lore (Any One), Research, Sleight of Hand</t>
        </is>
      </c>
      <c r="H20" t="inlineStr">
        <is>
          <t>Acute Sense (Sight or Touch), Dealmaker, Etiquette (Any One), Tenacious</t>
        </is>
      </c>
      <c r="I20" t="inlineStr">
        <is>
          <t>Apprentice, Patron, Workshop (Artist)</t>
        </is>
      </c>
      <c r="J20" t="inlineStr">
        <is>
          <t>|Art (any)|Charm|Climb|Consume Alcohol|Evaluate|Gossip|Intuition|Lore (Art)|Perception|Trade (Art Supplies)|Endurance|Entertain (Storytelling)|Gamble|Haggle|Lore (Heraldry)|Melee (Fencing)|Leadership|Lore (any)|Research|Sleight of Hand|</t>
        </is>
      </c>
      <c r="K20" t="inlineStr">
        <is>
          <t>|Artistic|Read/Write|Sharp|Strong Back|Attractive|Carouser|Gregarious|Nimble-fingered|Acute Sense (Sight)|Acute Sense (Touch)|Dealmaker|Etiquette (any)|Tenacious|</t>
        </is>
      </c>
      <c r="L20" t="inlineStr">
        <is>
          <t>You possess an artistic gift, and strive to create works that uplift the soul… or at least pay the bills.</t>
        </is>
      </c>
      <c r="M20" t="inlineStr">
        <is>
          <t>Art (Any One)</t>
        </is>
      </c>
      <c r="N20" t="inlineStr">
        <is>
          <t>Dwarf, Halfling, High Elf, Human, Wood Elf</t>
        </is>
      </c>
      <c r="O20" t="n">
        <v>49</v>
      </c>
      <c r="R20" t="n">
        <v>1</v>
      </c>
      <c r="T20" t="n">
        <v>1</v>
      </c>
      <c r="V20" t="n">
        <v>1</v>
      </c>
      <c r="W20" t="n">
        <v>3</v>
      </c>
      <c r="X20" t="n">
        <v>4</v>
      </c>
      <c r="Y20" t="n">
        <v>2</v>
      </c>
    </row>
    <row r="21">
      <c r="A21" t="inlineStr">
        <is>
          <t>Artist|4</t>
        </is>
      </c>
      <c r="B21" t="inlineStr">
        <is>
          <t>Artist</t>
        </is>
      </c>
      <c r="C21" t="n">
        <v>4</v>
      </c>
      <c r="D21" t="inlineStr">
        <is>
          <t>Courtier</t>
        </is>
      </c>
      <c r="E21" t="inlineStr">
        <is>
          <t>Maestro</t>
        </is>
      </c>
      <c r="F21" t="inlineStr">
        <is>
          <t>Gold 2</t>
        </is>
      </c>
      <c r="G21" t="inlineStr">
        <is>
          <t>Cool, Secret Signs (Any One)</t>
        </is>
      </c>
      <c r="H21" t="inlineStr">
        <is>
          <t>Ambidextrous, Magnum Opus, Savant (Art), Wealthy</t>
        </is>
      </c>
      <c r="I21" t="inlineStr">
        <is>
          <t>3 Apprentices, Large Workshop (Artist), Library (Art)</t>
        </is>
      </c>
      <c r="J21" t="inlineStr">
        <is>
          <t>|Art (any)|Charm|Climb|Consume Alcohol|Evaluate|Gossip|Intuition|Lore (Art)|Perception|Trade (Art Supplies)|Endurance|Entertain (Storytelling)|Gamble|Haggle|Lore (Heraldry)|Melee (Fencing)|Leadership|Lore (any)|Research|Sleight of Hand|Cool|Secret Signs (any)|</t>
        </is>
      </c>
      <c r="K21" t="inlineStr">
        <is>
          <t>|Artistic|Read/Write|Sharp|Strong Back|Attractive|Carouser|Gregarious|Nimble-fingered|Acute Sense (Sight)|Acute Sense (Touch)|Dealmaker|Etiquette (any)|Tenacious|Ambidextrous|Magnum Opus|Savant (Art)|Wealthy|</t>
        </is>
      </c>
      <c r="L21" t="inlineStr">
        <is>
          <t>You possess an artistic gift, and strive to create works that uplift the soul… or at least pay the bills.</t>
        </is>
      </c>
      <c r="M21" t="inlineStr">
        <is>
          <t>Art (Any One)</t>
        </is>
      </c>
      <c r="N21" t="inlineStr">
        <is>
          <t>Dwarf, Halfling, High Elf, Human, Wood Elf</t>
        </is>
      </c>
      <c r="O21" t="n">
        <v>49</v>
      </c>
      <c r="R21" t="n">
        <v>1</v>
      </c>
      <c r="T21" t="n">
        <v>1</v>
      </c>
      <c r="V21" t="n">
        <v>1</v>
      </c>
      <c r="W21" t="n">
        <v>3</v>
      </c>
      <c r="X21" t="n">
        <v>4</v>
      </c>
      <c r="Y21" t="n">
        <v>2</v>
      </c>
    </row>
    <row r="22">
      <c r="A22" t="inlineStr">
        <is>
          <t>Bailiff|1</t>
        </is>
      </c>
      <c r="B22" t="inlineStr">
        <is>
          <t>Bailiff</t>
        </is>
      </c>
      <c r="C22" t="n">
        <v>1</v>
      </c>
      <c r="D22" t="inlineStr">
        <is>
          <t>Peasant</t>
        </is>
      </c>
      <c r="E22" t="inlineStr">
        <is>
          <t>Tax Collector</t>
        </is>
      </c>
      <c r="F22" t="inlineStr">
        <is>
          <t>Silver 1</t>
        </is>
      </c>
      <c r="G22" t="inlineStr">
        <is>
          <t>Athletics, Cool, Dodge, Endurance, Evaluate, Gossip, Intimidate, Melee (Basic), Perception, Pick Lock</t>
        </is>
      </c>
      <c r="H22" t="inlineStr">
        <is>
          <t>Break and Enter, Embezzle, Numismatics, Strong Back</t>
        </is>
      </c>
      <c r="I22" t="inlineStr">
        <is>
          <t>Hand Weapon, Small Lock Box</t>
        </is>
      </c>
      <c r="J22" t="inlineStr">
        <is>
          <t>|Athletics|Cool|Dodge|Endurance|Evaluate|Gossip|Intimidate|Melee (Basic)|Perception|Pick Lock|</t>
        </is>
      </c>
      <c r="K22" t="inlineStr">
        <is>
          <t>|Break and Enter|Embezzle|Numismatics|Strong Back|</t>
        </is>
      </c>
      <c r="L22" t="inlineStr">
        <is>
          <t>You are trusted by a local ruler to represent the law and administer their lands with a firm hand.</t>
        </is>
      </c>
      <c r="M22" t="inlineStr">
        <is>
          <t>Intimidate</t>
        </is>
      </c>
      <c r="N22" t="inlineStr">
        <is>
          <t>Dwarf, Halfling, Human</t>
        </is>
      </c>
      <c r="O22" t="n">
        <v>50</v>
      </c>
      <c r="P22" t="n">
        <v>1</v>
      </c>
      <c r="R22" t="n">
        <v>1</v>
      </c>
      <c r="T22" t="n">
        <v>1</v>
      </c>
      <c r="W22" t="n">
        <v>4</v>
      </c>
      <c r="X22" t="n">
        <v>3</v>
      </c>
      <c r="Y22" t="n">
        <v>2</v>
      </c>
    </row>
    <row r="23">
      <c r="A23" t="inlineStr">
        <is>
          <t>Bailiff|2</t>
        </is>
      </c>
      <c r="B23" t="inlineStr">
        <is>
          <t>Bailiff</t>
        </is>
      </c>
      <c r="C23" t="n">
        <v>2</v>
      </c>
      <c r="D23" t="inlineStr">
        <is>
          <t>Peasant</t>
        </is>
      </c>
      <c r="E23" t="inlineStr">
        <is>
          <t>Bailiff</t>
        </is>
      </c>
      <c r="F23" t="inlineStr">
        <is>
          <t>Silver 5</t>
        </is>
      </c>
      <c r="G23" t="inlineStr">
        <is>
          <t>Bribery, Charm, Haggle, Intuition, Leadership, Lore (Local)</t>
        </is>
      </c>
      <c r="H23" t="inlineStr">
        <is>
          <t>Criminal, Menacing, Public Speaker, Strike to Stun</t>
        </is>
      </c>
      <c r="I23" t="inlineStr">
        <is>
          <t>Leather Jack, 3 Tax Collectors</t>
        </is>
      </c>
      <c r="J23" t="inlineStr">
        <is>
          <t>|Athletics|Cool|Dodge|Endurance|Evaluate|Gossip|Intimidate|Melee (Basic)|Perception|Pick Lock|Bribery|Charm|Haggle|Intuition|Leadership|Lore (Local)|</t>
        </is>
      </c>
      <c r="K23" t="inlineStr">
        <is>
          <t>|Break and Enter|Embezzle|Numismatics|Strong Back|Criminal|Menacing|Public Speaker|Strike to Stun|</t>
        </is>
      </c>
      <c r="L23" t="inlineStr">
        <is>
          <t>You are trusted by a local ruler to represent the law and administer their lands with a firm hand.</t>
        </is>
      </c>
      <c r="M23" t="inlineStr">
        <is>
          <t>Intimidate</t>
        </is>
      </c>
      <c r="N23" t="inlineStr">
        <is>
          <t>Dwarf, Halfling, Human</t>
        </is>
      </c>
      <c r="O23" t="n">
        <v>50</v>
      </c>
      <c r="P23" t="n">
        <v>1</v>
      </c>
      <c r="R23" t="n">
        <v>1</v>
      </c>
      <c r="T23" t="n">
        <v>1</v>
      </c>
      <c r="W23" t="n">
        <v>4</v>
      </c>
      <c r="X23" t="n">
        <v>3</v>
      </c>
      <c r="Y23" t="n">
        <v>2</v>
      </c>
    </row>
    <row r="24">
      <c r="A24" t="inlineStr">
        <is>
          <t>Bailiff|3</t>
        </is>
      </c>
      <c r="B24" t="inlineStr">
        <is>
          <t>Bailiff</t>
        </is>
      </c>
      <c r="C24" t="n">
        <v>3</v>
      </c>
      <c r="D24" t="inlineStr">
        <is>
          <t>Peasant</t>
        </is>
      </c>
      <c r="E24" t="inlineStr">
        <is>
          <t>Reeve</t>
        </is>
      </c>
      <c r="F24" t="inlineStr">
        <is>
          <t>Gold 1</t>
        </is>
      </c>
      <c r="G24" t="inlineStr">
        <is>
          <t>Animal Care, Lore (Heraldry), Navigation, Ride (Horse)</t>
        </is>
      </c>
      <c r="H24" t="inlineStr">
        <is>
          <t>Argumentative, Kingpin, Nose for Trouble, Read/Write</t>
        </is>
      </c>
      <c r="I24" t="inlineStr">
        <is>
          <t>Bailiff, Breastplate, Riding Horse</t>
        </is>
      </c>
      <c r="J24" t="inlineStr">
        <is>
          <t>|Athletics|Cool|Dodge|Endurance|Evaluate|Gossip|Intimidate|Melee (Basic)|Perception|Pick Lock|Bribery|Charm|Haggle|Intuition|Leadership|Lore (Local)|Animal Care|Lore (Heraldry)|Navigation|Ride (Horse)|</t>
        </is>
      </c>
      <c r="K24" t="inlineStr">
        <is>
          <t>|Break and Enter|Embezzle|Numismatics|Strong Back|Criminal|Menacing|Public Speaker|Strike to Stun|Argumentative|Kingpin|Nose for Trouble|Read/Write|</t>
        </is>
      </c>
      <c r="L24" t="inlineStr">
        <is>
          <t>You are trusted by a local ruler to represent the law and administer their lands with a firm hand.</t>
        </is>
      </c>
      <c r="M24" t="inlineStr">
        <is>
          <t>Intimidate</t>
        </is>
      </c>
      <c r="N24" t="inlineStr">
        <is>
          <t>Dwarf, Halfling, Human</t>
        </is>
      </c>
      <c r="O24" t="n">
        <v>50</v>
      </c>
      <c r="P24" t="n">
        <v>1</v>
      </c>
      <c r="R24" t="n">
        <v>1</v>
      </c>
      <c r="T24" t="n">
        <v>1</v>
      </c>
      <c r="W24" t="n">
        <v>4</v>
      </c>
      <c r="X24" t="n">
        <v>3</v>
      </c>
      <c r="Y24" t="n">
        <v>2</v>
      </c>
    </row>
    <row r="25">
      <c r="A25" t="inlineStr">
        <is>
          <t>Bailiff|4</t>
        </is>
      </c>
      <c r="B25" t="inlineStr">
        <is>
          <t>Bailiff</t>
        </is>
      </c>
      <c r="C25" t="n">
        <v>4</v>
      </c>
      <c r="D25" t="inlineStr">
        <is>
          <t>Peasant</t>
        </is>
      </c>
      <c r="E25" t="inlineStr">
        <is>
          <t>Magistrate</t>
        </is>
      </c>
      <c r="F25" t="inlineStr">
        <is>
          <t>Gold 2</t>
        </is>
      </c>
      <c r="G25" t="inlineStr">
        <is>
          <t>Language (Classical), Lore (Law)</t>
        </is>
      </c>
      <c r="H25" t="inlineStr">
        <is>
          <t>Commanding Presence, Iron Will, Savvy, Schemer</t>
        </is>
      </c>
      <c r="I25" t="inlineStr">
        <is>
          <t>Library (Law), Quality Robes, Seal of Office</t>
        </is>
      </c>
      <c r="J25" t="inlineStr">
        <is>
          <t>|Athletics|Cool|Dodge|Endurance|Evaluate|Gossip|Intimidate|Melee (Basic)|Perception|Pick Lock|Bribery|Charm|Haggle|Intuition|Leadership|Lore (Local)|Animal Care|Lore (Heraldry)|Navigation|Ride (Horse)|Language (Classical)|Lore (Law)|</t>
        </is>
      </c>
      <c r="K25" t="inlineStr">
        <is>
          <t>|Break and Enter|Embezzle|Numismatics|Strong Back|Criminal|Menacing|Public Speaker|Strike to Stun|Argumentative|Kingpin|Nose for Trouble|Read/Write|Commanding Presence|Iron Will|Savvy|Schemer|</t>
        </is>
      </c>
      <c r="L25" t="inlineStr">
        <is>
          <t>You are trusted by a local ruler to represent the law and administer their lands with a firm hand.</t>
        </is>
      </c>
      <c r="M25" t="inlineStr">
        <is>
          <t>Intimidate</t>
        </is>
      </c>
      <c r="N25" t="inlineStr">
        <is>
          <t>Dwarf, Halfling, Human</t>
        </is>
      </c>
      <c r="O25" t="n">
        <v>50</v>
      </c>
      <c r="P25" t="n">
        <v>1</v>
      </c>
      <c r="R25" t="n">
        <v>1</v>
      </c>
      <c r="T25" t="n">
        <v>1</v>
      </c>
      <c r="W25" t="n">
        <v>4</v>
      </c>
      <c r="X25" t="n">
        <v>3</v>
      </c>
      <c r="Y25" t="n">
        <v>2</v>
      </c>
    </row>
    <row r="26">
      <c r="A26" t="inlineStr">
        <is>
          <t>Beggar|1</t>
        </is>
      </c>
      <c r="B26" t="inlineStr">
        <is>
          <t>Beggar</t>
        </is>
      </c>
      <c r="C26" t="n">
        <v>1</v>
      </c>
      <c r="D26" t="inlineStr">
        <is>
          <t>Burgher</t>
        </is>
      </c>
      <c r="E26" t="inlineStr">
        <is>
          <t>Pauper</t>
        </is>
      </c>
      <c r="F26" t="inlineStr">
        <is>
          <t>Brass 0</t>
        </is>
      </c>
      <c r="G26" t="inlineStr">
        <is>
          <t>Charm, Consume Alcohol, Dodge, Endurance, Gossip, Intuition, Outdoor Survival, Perception, Secret Signs (Vagabond), Stealth (Rural or Urban)</t>
        </is>
      </c>
      <c r="H26" t="inlineStr">
        <is>
          <t>Beneath Notice, Panhandle, Resistant (Disease), Stone Soup</t>
        </is>
      </c>
      <c r="I26" t="inlineStr">
        <is>
          <t>Cup, Poor Quality Blanket</t>
        </is>
      </c>
      <c r="J26" t="inlineStr">
        <is>
          <t>|Charm|Consume Alcohol|Dodge|Endurance|Gossip|Intuition|Outdoor Survival|Perception|Secret Signs (Vagabond)|Stealth (Rural)|Stealth (Urban)|</t>
        </is>
      </c>
      <c r="K26" t="inlineStr">
        <is>
          <t>|Beneath Notice|Panhandle|Resistant (Disease)|Stone Soup|</t>
        </is>
      </c>
      <c r="L26" t="inlineStr">
        <is>
          <t>Street-smart, you make a living from the charity of others using persuasion and charm.</t>
        </is>
      </c>
      <c r="M26" t="inlineStr">
        <is>
          <t>Charm</t>
        </is>
      </c>
      <c r="N26" t="inlineStr">
        <is>
          <t>Dwarf, Halfling, Human</t>
        </is>
      </c>
      <c r="O26" t="n">
        <v>51</v>
      </c>
      <c r="P26" t="n">
        <v>4</v>
      </c>
      <c r="S26" t="n">
        <v>1</v>
      </c>
      <c r="T26" t="n">
        <v>2</v>
      </c>
      <c r="U26" t="n">
        <v>1</v>
      </c>
      <c r="X26" t="n">
        <v>3</v>
      </c>
      <c r="Y26" t="n">
        <v>1</v>
      </c>
    </row>
    <row r="27">
      <c r="A27" t="inlineStr">
        <is>
          <t>Beggar|2</t>
        </is>
      </c>
      <c r="B27" t="inlineStr">
        <is>
          <t>Beggar</t>
        </is>
      </c>
      <c r="C27" t="n">
        <v>2</v>
      </c>
      <c r="D27" t="inlineStr">
        <is>
          <t>Burgher</t>
        </is>
      </c>
      <c r="E27" t="inlineStr">
        <is>
          <t>Beggar</t>
        </is>
      </c>
      <c r="F27" t="inlineStr">
        <is>
          <t>Brass 1</t>
        </is>
      </c>
      <c r="G27" t="inlineStr">
        <is>
          <t>Athletics, Cool, Entertain (Acting), Entertain (Any One), Lore (Local), Sleight of Hand</t>
        </is>
      </c>
      <c r="H27" t="inlineStr">
        <is>
          <t>Alley Cat, Blather, Criminal, Etiquette (Criminals)</t>
        </is>
      </c>
      <c r="I27" t="inlineStr">
        <is>
          <t>Bowl, Crutch</t>
        </is>
      </c>
      <c r="J27" t="inlineStr">
        <is>
          <t>|Charm|Consume Alcohol|Dodge|Endurance|Gossip|Intuition|Outdoor Survival|Perception|Secret Signs (Vagabond)|Stealth (Rural)|Stealth (Urban)|Athletics|Cool|Entertain (Acting)|Entertain (any)|Lore (Local)|Sleight of Hand|</t>
        </is>
      </c>
      <c r="K27" t="inlineStr">
        <is>
          <t>|Beneath Notice|Panhandle|Resistant (Disease)|Stone Soup|Alley Cat|Blather|Criminal|Etiquette (Criminals)|</t>
        </is>
      </c>
      <c r="L27" t="inlineStr">
        <is>
          <t>Street-smart, you make a living from the charity of others using persuasion and charm.</t>
        </is>
      </c>
      <c r="M27" t="inlineStr">
        <is>
          <t>Charm</t>
        </is>
      </c>
      <c r="N27" t="inlineStr">
        <is>
          <t>Dwarf, Halfling, Human</t>
        </is>
      </c>
      <c r="O27" t="n">
        <v>51</v>
      </c>
      <c r="P27" t="n">
        <v>4</v>
      </c>
      <c r="S27" t="n">
        <v>1</v>
      </c>
      <c r="T27" t="n">
        <v>2</v>
      </c>
      <c r="U27" t="n">
        <v>1</v>
      </c>
      <c r="X27" t="n">
        <v>3</v>
      </c>
      <c r="Y27" t="n">
        <v>1</v>
      </c>
    </row>
    <row r="28">
      <c r="A28" t="inlineStr">
        <is>
          <t>Beggar|3</t>
        </is>
      </c>
      <c r="B28" t="inlineStr">
        <is>
          <t>Beggar</t>
        </is>
      </c>
      <c r="C28" t="n">
        <v>3</v>
      </c>
      <c r="D28" t="inlineStr">
        <is>
          <t>Burgher</t>
        </is>
      </c>
      <c r="E28" t="inlineStr">
        <is>
          <t>Master Beggar</t>
        </is>
      </c>
      <c r="F28" t="inlineStr">
        <is>
          <t>Brass 4</t>
        </is>
      </c>
      <c r="G28" t="inlineStr">
        <is>
          <t>Charm Animal, Haggle, Leadership, Melee (Brawling)</t>
        </is>
      </c>
      <c r="H28" t="inlineStr">
        <is>
          <t>Dirty Fighting, Hardy, Step Aside, Very Resilient</t>
        </is>
      </c>
      <c r="I28" t="inlineStr">
        <is>
          <t>Disguise Kit, Hiding Place, Pauper Follower</t>
        </is>
      </c>
      <c r="J28" t="inlineStr">
        <is>
          <t>|Charm|Consume Alcohol|Dodge|Endurance|Gossip|Intuition|Outdoor Survival|Perception|Secret Signs (Vagabond)|Stealth (Rural)|Stealth (Urban)|Athletics|Cool|Entertain (Acting)|Entertain (any)|Lore (Local)|Sleight of Hand|Charm Animal|Haggle|Leadership|Melee (Brawling)|</t>
        </is>
      </c>
      <c r="K28" t="inlineStr">
        <is>
          <t>|Beneath Notice|Panhandle|Resistant (Disease)|Stone Soup|Alley Cat|Blather|Criminal|Etiquette (Criminals)|Dirty Fighting|Hardy|Step Aside|Very Resilient|</t>
        </is>
      </c>
      <c r="L28" t="inlineStr">
        <is>
          <t>Street-smart, you make a living from the charity of others using persuasion and charm.</t>
        </is>
      </c>
      <c r="M28" t="inlineStr">
        <is>
          <t>Charm</t>
        </is>
      </c>
      <c r="N28" t="inlineStr">
        <is>
          <t>Dwarf, Halfling, Human</t>
        </is>
      </c>
      <c r="O28" t="n">
        <v>51</v>
      </c>
      <c r="P28" t="n">
        <v>4</v>
      </c>
      <c r="S28" t="n">
        <v>1</v>
      </c>
      <c r="T28" t="n">
        <v>2</v>
      </c>
      <c r="U28" t="n">
        <v>1</v>
      </c>
      <c r="X28" t="n">
        <v>3</v>
      </c>
      <c r="Y28" t="n">
        <v>1</v>
      </c>
    </row>
    <row r="29">
      <c r="A29" t="inlineStr">
        <is>
          <t>Beggar|4</t>
        </is>
      </c>
      <c r="B29" t="inlineStr">
        <is>
          <t>Beggar</t>
        </is>
      </c>
      <c r="C29" t="n">
        <v>4</v>
      </c>
      <c r="D29" t="inlineStr">
        <is>
          <t>Burgher</t>
        </is>
      </c>
      <c r="E29" t="inlineStr">
        <is>
          <t>Beggar King</t>
        </is>
      </c>
      <c r="F29" t="inlineStr">
        <is>
          <t>Silver 2</t>
        </is>
      </c>
      <c r="G29" t="inlineStr">
        <is>
          <t>Bribery, Intimidate</t>
        </is>
      </c>
      <c r="H29" t="inlineStr">
        <is>
          <t>Cat-tongued, Dealmaker, Fearless (Watchmen), Suave</t>
        </is>
      </c>
      <c r="I29" t="inlineStr">
        <is>
          <t>Lair, Large Group of Beggar Followers</t>
        </is>
      </c>
      <c r="J29" t="inlineStr">
        <is>
          <t>|Charm|Consume Alcohol|Dodge|Endurance|Gossip|Intuition|Outdoor Survival|Perception|Secret Signs (Vagabond)|Stealth (Rural)|Stealth (Urban)|Athletics|Cool|Entertain (Acting)|Entertain (any)|Lore (Local)|Sleight of Hand|Charm Animal|Haggle|Leadership|Melee (Brawling)|Bribery|Intimidate|</t>
        </is>
      </c>
      <c r="K29" t="inlineStr">
        <is>
          <t>|Beneath Notice|Panhandle|Resistant (Disease)|Stone Soup|Alley Cat|Blather|Criminal|Etiquette (Criminals)|Dirty Fighting|Hardy|Step Aside|Very Resilient|Cat-tongued|Dealmaker|Fearless (Watchmen)|Suave|</t>
        </is>
      </c>
      <c r="L29" t="inlineStr">
        <is>
          <t>Street-smart, you make a living from the charity of others using persuasion and charm.</t>
        </is>
      </c>
      <c r="M29" t="inlineStr">
        <is>
          <t>Charm</t>
        </is>
      </c>
      <c r="N29" t="inlineStr">
        <is>
          <t>Dwarf, Halfling, Human</t>
        </is>
      </c>
      <c r="O29" t="n">
        <v>51</v>
      </c>
      <c r="P29" t="n">
        <v>4</v>
      </c>
      <c r="S29" t="n">
        <v>1</v>
      </c>
      <c r="T29" t="n">
        <v>2</v>
      </c>
      <c r="U29" t="n">
        <v>1</v>
      </c>
      <c r="X29" t="n">
        <v>3</v>
      </c>
      <c r="Y29" t="n">
        <v>1</v>
      </c>
    </row>
    <row r="30">
      <c r="A30" t="inlineStr">
        <is>
          <t>Boatman|1</t>
        </is>
      </c>
      <c r="B30" t="inlineStr">
        <is>
          <t>Boatman</t>
        </is>
      </c>
      <c r="C30" t="n">
        <v>1</v>
      </c>
      <c r="D30" t="inlineStr">
        <is>
          <t>Riverfolk</t>
        </is>
      </c>
      <c r="E30" t="inlineStr">
        <is>
          <t>Boathand</t>
        </is>
      </c>
      <c r="F30" t="inlineStr">
        <is>
          <t>Brass 3</t>
        </is>
      </c>
      <c r="G30" t="inlineStr">
        <is>
          <t>Athletics, Charm, Consume Alcohol, Dodge, Endurance, Gossip, Melee (Brawling), Row, Sail, Swim</t>
        </is>
      </c>
      <c r="H30" t="inlineStr">
        <is>
          <t>Fisherman, Strong Back, Strong Swimmer, Waterman</t>
        </is>
      </c>
      <c r="I30" t="inlineStr">
        <is>
          <t>Hand Weapon (Boat Hook), Leather Jack, Pole</t>
        </is>
      </c>
      <c r="J30" t="inlineStr">
        <is>
          <t>|Athletics|Charm|Consume Alcohol|Dodge|Endurance|Gossip|Melee (Brawling)|Row|Sail|Swim|</t>
        </is>
      </c>
      <c r="K30" t="inlineStr">
        <is>
          <t>|Fisherman|Strong Back|Strong Swimmer|Waterman|</t>
        </is>
      </c>
      <c r="L30" t="inlineStr">
        <is>
          <t>You ply the dangerous waters of the Old World, transporting people, goods, and the latest news.</t>
        </is>
      </c>
      <c r="M30" t="inlineStr">
        <is>
          <t>Sail</t>
        </is>
      </c>
      <c r="N30" t="inlineStr">
        <is>
          <t>Dwarf, Halfling, High Elf, Human</t>
        </is>
      </c>
      <c r="O30" t="n">
        <v>52</v>
      </c>
      <c r="R30" t="n">
        <v>1</v>
      </c>
      <c r="S30" t="n">
        <v>1</v>
      </c>
      <c r="T30" t="n">
        <v>2</v>
      </c>
      <c r="U30" t="n">
        <v>1</v>
      </c>
      <c r="V30" t="n">
        <v>3</v>
      </c>
      <c r="W30" t="n">
        <v>4</v>
      </c>
    </row>
    <row r="31">
      <c r="A31" t="inlineStr">
        <is>
          <t>Boatman|2</t>
        </is>
      </c>
      <c r="B31" t="inlineStr">
        <is>
          <t>Boatman</t>
        </is>
      </c>
      <c r="C31" t="n">
        <v>2</v>
      </c>
      <c r="D31" t="inlineStr">
        <is>
          <t>Riverfolk</t>
        </is>
      </c>
      <c r="E31" t="inlineStr">
        <is>
          <t>Boatman</t>
        </is>
      </c>
      <c r="F31" t="inlineStr">
        <is>
          <t>Silver 1</t>
        </is>
      </c>
      <c r="G31" t="inlineStr">
        <is>
          <t>Entertain (Storytelling), Haggle, Navigation, Lore (Riverways), Perception, Secret Signs (Guilder)</t>
        </is>
      </c>
      <c r="H31" t="inlineStr">
        <is>
          <t>Dirty Fighting, Etiquette (Guilder), Seasoned Traveller, Very Strong</t>
        </is>
      </c>
      <c r="I31" t="inlineStr">
        <is>
          <t>Rope, Rowboat</t>
        </is>
      </c>
      <c r="J31" t="inlineStr">
        <is>
          <t>|Athletics|Charm|Consume Alcohol|Dodge|Endurance|Gossip|Melee (Brawling)|Row|Sail|Swim|Entertain (Storytelling)|Haggle|Navigation|Lore (Riverways)|Perception|Secret Signs (Guilder)|</t>
        </is>
      </c>
      <c r="K31" t="inlineStr">
        <is>
          <t>|Fisherman|Strong Back|Strong Swimmer|Waterman|Dirty Fighting|Etiquette (Guilder)|Seasoned Traveller|Very Strong|</t>
        </is>
      </c>
      <c r="L31" t="inlineStr">
        <is>
          <t>You ply the dangerous waters of the Old World, transporting people, goods, and the latest news.</t>
        </is>
      </c>
      <c r="M31" t="inlineStr">
        <is>
          <t>Sail</t>
        </is>
      </c>
      <c r="N31" t="inlineStr">
        <is>
          <t>Dwarf, Halfling, High Elf, Human</t>
        </is>
      </c>
      <c r="O31" t="n">
        <v>52</v>
      </c>
      <c r="R31" t="n">
        <v>1</v>
      </c>
      <c r="S31" t="n">
        <v>1</v>
      </c>
      <c r="T31" t="n">
        <v>2</v>
      </c>
      <c r="U31" t="n">
        <v>1</v>
      </c>
      <c r="V31" t="n">
        <v>3</v>
      </c>
      <c r="W31" t="n">
        <v>4</v>
      </c>
    </row>
    <row r="32">
      <c r="A32" t="inlineStr">
        <is>
          <t>Boatman|3</t>
        </is>
      </c>
      <c r="B32" t="inlineStr">
        <is>
          <t>Boatman</t>
        </is>
      </c>
      <c r="C32" t="n">
        <v>3</v>
      </c>
      <c r="D32" t="inlineStr">
        <is>
          <t>Riverfolk</t>
        </is>
      </c>
      <c r="E32" t="inlineStr">
        <is>
          <t>Bargeswain</t>
        </is>
      </c>
      <c r="F32" t="inlineStr">
        <is>
          <t>Silver 2</t>
        </is>
      </c>
      <c r="G32" t="inlineStr">
        <is>
          <t>Climb, Heal, Intuition, Trade (Boatbuilder)</t>
        </is>
      </c>
      <c r="H32" t="inlineStr">
        <is>
          <t>Craftsman (Boatbuilder), Dealmaker, Embezzle, Nose for Trouble</t>
        </is>
      </c>
      <c r="I32" t="inlineStr">
        <is>
          <t>Backpack, Trade Tools (Carpenter), Trade Tools (Physician)</t>
        </is>
      </c>
      <c r="J32" t="inlineStr">
        <is>
          <t>|Athletics|Charm|Consume Alcohol|Dodge|Endurance|Gossip|Melee (Brawling)|Row|Sail|Swim|Entertain (Storytelling)|Haggle|Navigation|Lore (Riverways)|Perception|Secret Signs (Guilder)|Climb|Heal|Intuition|Trade (Boatbuilder)|</t>
        </is>
      </c>
      <c r="K32" t="inlineStr">
        <is>
          <t>|Fisherman|Strong Back|Strong Swimmer|Waterman|Dirty Fighting|Etiquette (Guilder)|Seasoned Traveller|Very Strong|Craftsman (Boatbuilder)|Dealmaker|Embezzle|Nose for Trouble|</t>
        </is>
      </c>
      <c r="L32" t="inlineStr">
        <is>
          <t>You ply the dangerous waters of the Old World, transporting people, goods, and the latest news.</t>
        </is>
      </c>
      <c r="M32" t="inlineStr">
        <is>
          <t>Sail</t>
        </is>
      </c>
      <c r="N32" t="inlineStr">
        <is>
          <t>Dwarf, Halfling, High Elf, Human</t>
        </is>
      </c>
      <c r="O32" t="n">
        <v>52</v>
      </c>
      <c r="R32" t="n">
        <v>1</v>
      </c>
      <c r="S32" t="n">
        <v>1</v>
      </c>
      <c r="T32" t="n">
        <v>2</v>
      </c>
      <c r="U32" t="n">
        <v>1</v>
      </c>
      <c r="V32" t="n">
        <v>3</v>
      </c>
      <c r="W32" t="n">
        <v>4</v>
      </c>
    </row>
    <row r="33">
      <c r="A33" t="inlineStr">
        <is>
          <t>Boatman|4</t>
        </is>
      </c>
      <c r="B33" t="inlineStr">
        <is>
          <t>Boatman</t>
        </is>
      </c>
      <c r="C33" t="n">
        <v>4</v>
      </c>
      <c r="D33" t="inlineStr">
        <is>
          <t>Riverfolk</t>
        </is>
      </c>
      <c r="E33" t="inlineStr">
        <is>
          <t>Barge Master</t>
        </is>
      </c>
      <c r="F33" t="inlineStr">
        <is>
          <t>Silver 5</t>
        </is>
      </c>
      <c r="G33" t="inlineStr">
        <is>
          <t>Cool, Leadership</t>
        </is>
      </c>
      <c r="H33" t="inlineStr">
        <is>
          <t>Orientation, Pilot, Public Speaker, Savant (Riverways)</t>
        </is>
      </c>
      <c r="I33" t="inlineStr">
        <is>
          <t>Barge and Crew, Hat</t>
        </is>
      </c>
      <c r="J33" t="inlineStr">
        <is>
          <t>|Athletics|Charm|Consume Alcohol|Dodge|Endurance|Gossip|Melee (Brawling)|Row|Sail|Swim|Entertain (Storytelling)|Haggle|Navigation|Lore (Riverways)|Perception|Secret Signs (Guilder)|Climb|Heal|Intuition|Trade (Boatbuilder)|Cool|Leadership|</t>
        </is>
      </c>
      <c r="K33" t="inlineStr">
        <is>
          <t>|Fisherman|Strong Back|Strong Swimmer|Waterman|Dirty Fighting|Etiquette (Guilder)|Seasoned Traveller|Very Strong|Craftsman (Boatbuilder)|Dealmaker|Embezzle|Nose for Trouble|Orientation|Pilot|Public Speaker|Savant (Riverways)|</t>
        </is>
      </c>
      <c r="L33" t="inlineStr">
        <is>
          <t>You ply the dangerous waters of the Old World, transporting people, goods, and the latest news.</t>
        </is>
      </c>
      <c r="M33" t="inlineStr">
        <is>
          <t>Sail</t>
        </is>
      </c>
      <c r="N33" t="inlineStr">
        <is>
          <t>Dwarf, Halfling, High Elf, Human</t>
        </is>
      </c>
      <c r="O33" t="n">
        <v>52</v>
      </c>
      <c r="R33" t="n">
        <v>1</v>
      </c>
      <c r="S33" t="n">
        <v>1</v>
      </c>
      <c r="T33" t="n">
        <v>2</v>
      </c>
      <c r="U33" t="n">
        <v>1</v>
      </c>
      <c r="V33" t="n">
        <v>3</v>
      </c>
      <c r="W33" t="n">
        <v>4</v>
      </c>
    </row>
    <row r="34">
      <c r="A34" t="inlineStr">
        <is>
          <t>Bounty Hunter|1</t>
        </is>
      </c>
      <c r="B34" t="inlineStr">
        <is>
          <t>Bounty Hunter</t>
        </is>
      </c>
      <c r="C34" t="n">
        <v>1</v>
      </c>
      <c r="D34" t="inlineStr">
        <is>
          <t>Ranger</t>
        </is>
      </c>
      <c r="E34" t="inlineStr">
        <is>
          <t>Thief-taker</t>
        </is>
      </c>
      <c r="F34" t="inlineStr">
        <is>
          <t>Silver 1</t>
        </is>
      </c>
      <c r="G34" t="inlineStr">
        <is>
          <t>Athletics, Charm, Cool, Gossip, Haggle, Intuition, Melee (Basic), Perception, Pick Lock, Stealth (Any One)</t>
        </is>
      </c>
      <c r="H34" t="inlineStr">
        <is>
          <t>Break and Enter, Shadow, Strike to Stun, Suave</t>
        </is>
      </c>
      <c r="I34" t="inlineStr">
        <is>
          <t>Hand Weapon, Leather Jerkin, Rope</t>
        </is>
      </c>
      <c r="J34" t="inlineStr">
        <is>
          <t>|Athletics|Charm|Cool|Gossip|Haggle|Intuition|Melee (Basic)|Perception|Pick Lock|Stealth (any)|</t>
        </is>
      </c>
      <c r="K34" t="inlineStr">
        <is>
          <t>|Break and Enter|Shadow|Strike to Stun|Suave|</t>
        </is>
      </c>
      <c r="L34" t="inlineStr">
        <is>
          <t>Ruthless and determined, you pursue your quarry to the bitter end: for justice, money, or both.</t>
        </is>
      </c>
      <c r="M34" t="inlineStr">
        <is>
          <t>Melee (Basic)</t>
        </is>
      </c>
      <c r="N34" t="inlineStr">
        <is>
          <t>Dwarf, Halfling, High Elf, Human, Wood Elf</t>
        </is>
      </c>
      <c r="O34" t="n">
        <v>53</v>
      </c>
      <c r="P34" t="n">
        <v>1</v>
      </c>
      <c r="Q34" t="n">
        <v>2</v>
      </c>
      <c r="R34" t="n">
        <v>1</v>
      </c>
      <c r="S34" t="n">
        <v>3</v>
      </c>
      <c r="U34" t="n">
        <v>1</v>
      </c>
      <c r="X34" t="n">
        <v>4</v>
      </c>
    </row>
    <row r="35">
      <c r="A35" t="inlineStr">
        <is>
          <t>Bounty Hunter|2</t>
        </is>
      </c>
      <c r="B35" t="inlineStr">
        <is>
          <t>Bounty Hunter</t>
        </is>
      </c>
      <c r="C35" t="n">
        <v>2</v>
      </c>
      <c r="D35" t="inlineStr">
        <is>
          <t>Ranger</t>
        </is>
      </c>
      <c r="E35" t="inlineStr">
        <is>
          <t>Bounty Hunter</t>
        </is>
      </c>
      <c r="F35" t="inlineStr">
        <is>
          <t>Silver 3</t>
        </is>
      </c>
      <c r="G35" t="inlineStr">
        <is>
          <t>Bribery, Endurance, Intimidate, Outdoor Survival, Ranged (Crossbow, Entangling, or Throwing), Track</t>
        </is>
      </c>
      <c r="H35" t="inlineStr">
        <is>
          <t>Marksman, Relentless, Seasoned Traveller, Strong Back</t>
        </is>
      </c>
      <c r="I35" t="inlineStr">
        <is>
          <t>2 Bolas or Crossbow with 10 Bolts or Lasso, Leather Skullcap, Manacles, Net, Warrant Papers</t>
        </is>
      </c>
      <c r="J35" t="inlineStr">
        <is>
          <t>|Athletics|Charm|Cool|Gossip|Haggle|Intuition|Melee (Basic)|Perception|Pick Lock|Stealth (any)|Bribery|Endurance|Intimidate|Outdoor Survival|Ranged (Crossbow)|Ranged (Entangling)|Ranged (Throwing)|Track|</t>
        </is>
      </c>
      <c r="K35" t="inlineStr">
        <is>
          <t>|Break and Enter|Shadow|Strike to Stun|Suave|Marksman|Relentless|Seasoned Traveller|Strong Back|</t>
        </is>
      </c>
      <c r="L35" t="inlineStr">
        <is>
          <t>Ruthless and determined, you pursue your quarry to the bitter end: for justice, money, or both.</t>
        </is>
      </c>
      <c r="M35" t="inlineStr">
        <is>
          <t>Melee (Basic)</t>
        </is>
      </c>
      <c r="N35" t="inlineStr">
        <is>
          <t>Dwarf, Halfling, High Elf, Human, Wood Elf</t>
        </is>
      </c>
      <c r="O35" t="n">
        <v>53</v>
      </c>
      <c r="P35" t="n">
        <v>1</v>
      </c>
      <c r="Q35" t="n">
        <v>2</v>
      </c>
      <c r="R35" t="n">
        <v>1</v>
      </c>
      <c r="S35" t="n">
        <v>3</v>
      </c>
      <c r="U35" t="n">
        <v>1</v>
      </c>
      <c r="X35" t="n">
        <v>4</v>
      </c>
    </row>
    <row r="36">
      <c r="A36" t="inlineStr">
        <is>
          <t>Bounty Hunter|3</t>
        </is>
      </c>
      <c r="B36" t="inlineStr">
        <is>
          <t>Bounty Hunter</t>
        </is>
      </c>
      <c r="C36" t="n">
        <v>3</v>
      </c>
      <c r="D36" t="inlineStr">
        <is>
          <t>Ranger</t>
        </is>
      </c>
      <c r="E36" t="inlineStr">
        <is>
          <t>Master Bounty Hunter</t>
        </is>
      </c>
      <c r="F36" t="inlineStr">
        <is>
          <t>Silver 5</t>
        </is>
      </c>
      <c r="G36" t="inlineStr">
        <is>
          <t>Animal Care, Climb, Ride (Horse), Swim</t>
        </is>
      </c>
      <c r="H36" t="inlineStr">
        <is>
          <t>Accurate Shot, Careful Strike, Dual Wielder, Sprinter</t>
        </is>
      </c>
      <c r="I36" t="inlineStr">
        <is>
          <t>Mail Shirt, Riding Horse</t>
        </is>
      </c>
      <c r="J36" t="inlineStr">
        <is>
          <t>|Athletics|Charm|Cool|Gossip|Haggle|Intuition|Melee (Basic)|Perception|Pick Lock|Stealth (any)|Bribery|Endurance|Intimidate|Outdoor Survival|Ranged (Crossbow)|Ranged (Entangling)|Ranged (Throwing)|Track|Animal Care|Climb|Ride (Horse)|Swim|</t>
        </is>
      </c>
      <c r="K36" t="inlineStr">
        <is>
          <t>|Break and Enter|Shadow|Strike to Stun|Suave|Marksman|Relentless|Seasoned Traveller|Strong Back|Accurate Shot|Careful Strike|Dual Wielder|Sprinter|</t>
        </is>
      </c>
      <c r="L36" t="inlineStr">
        <is>
          <t>Ruthless and determined, you pursue your quarry to the bitter end: for justice, money, or both.</t>
        </is>
      </c>
      <c r="M36" t="inlineStr">
        <is>
          <t>Melee (Basic)</t>
        </is>
      </c>
      <c r="N36" t="inlineStr">
        <is>
          <t>Dwarf, Halfling, High Elf, Human, Wood Elf</t>
        </is>
      </c>
      <c r="O36" t="n">
        <v>53</v>
      </c>
      <c r="P36" t="n">
        <v>1</v>
      </c>
      <c r="Q36" t="n">
        <v>2</v>
      </c>
      <c r="R36" t="n">
        <v>1</v>
      </c>
      <c r="S36" t="n">
        <v>3</v>
      </c>
      <c r="U36" t="n">
        <v>1</v>
      </c>
      <c r="X36" t="n">
        <v>4</v>
      </c>
    </row>
    <row r="37">
      <c r="A37" t="inlineStr">
        <is>
          <t>Bounty Hunter|4</t>
        </is>
      </c>
      <c r="B37" t="inlineStr">
        <is>
          <t>Bounty Hunter</t>
        </is>
      </c>
      <c r="C37" t="n">
        <v>4</v>
      </c>
      <c r="D37" t="inlineStr">
        <is>
          <t>Ranger</t>
        </is>
      </c>
      <c r="E37" t="inlineStr">
        <is>
          <t>Bounty Hunter General</t>
        </is>
      </c>
      <c r="F37" t="inlineStr">
        <is>
          <t>Gold 1</t>
        </is>
      </c>
      <c r="G37" t="inlineStr">
        <is>
          <t>Drive, Lore (Law)</t>
        </is>
      </c>
      <c r="H37" t="inlineStr">
        <is>
          <t>Deadeye Shot, Fearless (Bounties), Hardy, Sure Shot</t>
        </is>
      </c>
      <c r="I37" t="inlineStr">
        <is>
          <t>Draught Horse and Cart, 4 Pairs of Manacles</t>
        </is>
      </c>
      <c r="J37" t="inlineStr">
        <is>
          <t>|Athletics|Charm|Cool|Gossip|Haggle|Intuition|Melee (Basic)|Perception|Pick Lock|Stealth (any)|Bribery|Endurance|Intimidate|Outdoor Survival|Ranged (Crossbow)|Ranged (Entangling)|Ranged (Throwing)|Track|Animal Care|Climb|Ride (Horse)|Swim|Drive|Lore (Law)|</t>
        </is>
      </c>
      <c r="K37" t="inlineStr">
        <is>
          <t>|Break and Enter|Shadow|Strike to Stun|Suave|Marksman|Relentless|Seasoned Traveller|Strong Back|Accurate Shot|Careful Strike|Dual Wielder|Sprinter|Deadeye Shot|Fearless (Bounties)|Hardy|Sure Shot|</t>
        </is>
      </c>
      <c r="L37" t="inlineStr">
        <is>
          <t>Ruthless and determined, you pursue your quarry to the bitter end: for justice, money, or both.</t>
        </is>
      </c>
      <c r="M37" t="inlineStr">
        <is>
          <t>Melee (Basic)</t>
        </is>
      </c>
      <c r="N37" t="inlineStr">
        <is>
          <t>Dwarf, Halfling, High Elf, Human, Wood Elf</t>
        </is>
      </c>
      <c r="O37" t="n">
        <v>53</v>
      </c>
      <c r="P37" t="n">
        <v>1</v>
      </c>
      <c r="Q37" t="n">
        <v>2</v>
      </c>
      <c r="R37" t="n">
        <v>1</v>
      </c>
      <c r="S37" t="n">
        <v>3</v>
      </c>
      <c r="U37" t="n">
        <v>1</v>
      </c>
      <c r="X37" t="n">
        <v>4</v>
      </c>
    </row>
    <row r="38">
      <c r="A38" t="inlineStr">
        <is>
          <t>Cavalryman|1</t>
        </is>
      </c>
      <c r="B38" t="inlineStr">
        <is>
          <t>Cavalryman</t>
        </is>
      </c>
      <c r="C38" t="n">
        <v>1</v>
      </c>
      <c r="D38" t="inlineStr">
        <is>
          <t>Warrior</t>
        </is>
      </c>
      <c r="E38" t="inlineStr">
        <is>
          <t>Horseman</t>
        </is>
      </c>
      <c r="F38" t="inlineStr">
        <is>
          <t>Silver 3</t>
        </is>
      </c>
      <c r="G38" t="inlineStr">
        <is>
          <t>Animal Care, Charm Animal, Consume Alcohol, Cool, Language (Battle), Melee (Cavalry), Outdoor Survival, Perception, Ranged (Blackpowder or Bow), Ride (Horse)</t>
        </is>
      </c>
      <c r="H38" t="inlineStr">
        <is>
          <t>Combat Aware, Dual Wielder, Lightning Reflexes, Roughrider</t>
        </is>
      </c>
      <c r="I38" t="inlineStr">
        <is>
          <t>Bow with 10 Arrows or Pistol with 10 Shots, Leather Jack, Light Warhorse</t>
        </is>
      </c>
      <c r="J38" t="inlineStr">
        <is>
          <t>|Animal Care|Charm Animal|Consume Alcohol|Cool|Language (Battle)|Melee (Cavalry)|Outdoor Survival|Perception|Ranged (Blackpowder)|Ranged (Bow)|Ride (Horse)|</t>
        </is>
      </c>
      <c r="K38" t="inlineStr">
        <is>
          <t>|Combat Aware|Dual Wielder|Lightning Reflexes|Roughrider|</t>
        </is>
      </c>
      <c r="L38" t="inlineStr">
        <is>
          <t>A dashing and fearless rider, you bring speed, versatility, and skill-at-arms to the battlefield.</t>
        </is>
      </c>
      <c r="M38" t="inlineStr">
        <is>
          <t>Ride (Horse)</t>
        </is>
      </c>
      <c r="N38" t="inlineStr">
        <is>
          <t>High Elf, Human, Wood Elf</t>
        </is>
      </c>
      <c r="O38" t="n">
        <v>54</v>
      </c>
      <c r="P38" t="n">
        <v>1</v>
      </c>
      <c r="Q38" t="n">
        <v>1</v>
      </c>
      <c r="R38" t="n">
        <v>2</v>
      </c>
      <c r="T38" t="n">
        <v>3</v>
      </c>
      <c r="U38" t="n">
        <v>1</v>
      </c>
      <c r="Y38" t="n">
        <v>4</v>
      </c>
    </row>
    <row r="39">
      <c r="A39" t="inlineStr">
        <is>
          <t>Cavalryman|2</t>
        </is>
      </c>
      <c r="B39" t="inlineStr">
        <is>
          <t>Cavalryman</t>
        </is>
      </c>
      <c r="C39" t="n">
        <v>2</v>
      </c>
      <c r="D39" t="inlineStr">
        <is>
          <t>Warrior</t>
        </is>
      </c>
      <c r="E39" t="inlineStr">
        <is>
          <t>Cavalryman</t>
        </is>
      </c>
      <c r="F39" t="inlineStr">
        <is>
          <t>Silver 4</t>
        </is>
      </c>
      <c r="G39" t="inlineStr">
        <is>
          <t>Charm, Endurance, Gamble, Gossip, Melee (Basic), Play (Horn)</t>
        </is>
      </c>
      <c r="H39" t="inlineStr">
        <is>
          <t>Etiquette (Soldiers), Gunner, Seasoned Traveller, Trick Rider</t>
        </is>
      </c>
      <c r="I39" t="inlineStr">
        <is>
          <t>Breastplate, Open Helm</t>
        </is>
      </c>
      <c r="J39" t="inlineStr">
        <is>
          <t>|Animal Care|Charm Animal|Consume Alcohol|Cool|Language (Battle)|Melee (Cavalry)|Outdoor Survival|Perception|Ranged (Blackpowder)|Ranged (Bow)|Ride (Horse)|Charm|Endurance|Gamble|Gossip|Melee (Basic)|Play (Horn)|</t>
        </is>
      </c>
      <c r="K39" t="inlineStr">
        <is>
          <t>|Combat Aware|Dual Wielder|Lightning Reflexes|Roughrider|Etiquette (Soldiers)|Gunner|Seasoned Traveller|Trick Rider|</t>
        </is>
      </c>
      <c r="L39" t="inlineStr">
        <is>
          <t>A dashing and fearless rider, you bring speed, versatility, and skill-at-arms to the battlefield.</t>
        </is>
      </c>
      <c r="M39" t="inlineStr">
        <is>
          <t>Ride (Horse)</t>
        </is>
      </c>
      <c r="N39" t="inlineStr">
        <is>
          <t>High Elf, Human, Wood Elf</t>
        </is>
      </c>
      <c r="O39" t="n">
        <v>54</v>
      </c>
      <c r="P39" t="n">
        <v>1</v>
      </c>
      <c r="Q39" t="n">
        <v>1</v>
      </c>
      <c r="R39" t="n">
        <v>2</v>
      </c>
      <c r="T39" t="n">
        <v>3</v>
      </c>
      <c r="U39" t="n">
        <v>1</v>
      </c>
      <c r="Y39" t="n">
        <v>4</v>
      </c>
    </row>
    <row r="40">
      <c r="A40" t="inlineStr">
        <is>
          <t>Cavalryman|3</t>
        </is>
      </c>
      <c r="B40" t="inlineStr">
        <is>
          <t>Cavalryman</t>
        </is>
      </c>
      <c r="C40" t="n">
        <v>3</v>
      </c>
      <c r="D40" t="inlineStr">
        <is>
          <t>Warrior</t>
        </is>
      </c>
      <c r="E40" t="inlineStr">
        <is>
          <t>Cavalry Sergeant</t>
        </is>
      </c>
      <c r="F40" t="inlineStr">
        <is>
          <t>Gold 1</t>
        </is>
      </c>
      <c r="G40" t="inlineStr">
        <is>
          <t>Intimidate, Leadership, Lore (Warfare), Ranged (Engineering)</t>
        </is>
      </c>
      <c r="H40" t="inlineStr">
        <is>
          <t>Combat Reflexes, Fast Shot, Hatred (Any One), War Leader</t>
        </is>
      </c>
      <c r="I40" t="inlineStr">
        <is>
          <t>Sash</t>
        </is>
      </c>
      <c r="J40" t="inlineStr">
        <is>
          <t>|Animal Care|Charm Animal|Consume Alcohol|Cool|Language (Battle)|Melee (Cavalry)|Outdoor Survival|Perception|Ranged (Blackpowder)|Ranged (Bow)|Ride (Horse)|Charm|Endurance|Gamble|Gossip|Melee (Basic)|Play (Horn)|Intimidate|Leadership|Lore (Warfare)|Ranged (Engineering)|</t>
        </is>
      </c>
      <c r="K40" t="inlineStr">
        <is>
          <t>|Combat Aware|Dual Wielder|Lightning Reflexes|Roughrider|Etiquette (Soldiers)|Gunner|Seasoned Traveller|Trick Rider|Combat Reflexes|Fast Shot|Hatred (any)|War Leader|</t>
        </is>
      </c>
      <c r="L40" t="inlineStr">
        <is>
          <t>A dashing and fearless rider, you bring speed, versatility, and skill-at-arms to the battlefield.</t>
        </is>
      </c>
      <c r="M40" t="inlineStr">
        <is>
          <t>Ride (Horse)</t>
        </is>
      </c>
      <c r="N40" t="inlineStr">
        <is>
          <t>High Elf, Human, Wood Elf</t>
        </is>
      </c>
      <c r="O40" t="n">
        <v>54</v>
      </c>
      <c r="P40" t="n">
        <v>1</v>
      </c>
      <c r="Q40" t="n">
        <v>1</v>
      </c>
      <c r="R40" t="n">
        <v>2</v>
      </c>
      <c r="T40" t="n">
        <v>3</v>
      </c>
      <c r="U40" t="n">
        <v>1</v>
      </c>
      <c r="Y40" t="n">
        <v>4</v>
      </c>
    </row>
    <row r="41">
      <c r="A41" t="inlineStr">
        <is>
          <t>Cavalryman|4</t>
        </is>
      </c>
      <c r="B41" t="inlineStr">
        <is>
          <t>Cavalryman</t>
        </is>
      </c>
      <c r="C41" t="n">
        <v>4</v>
      </c>
      <c r="D41" t="inlineStr">
        <is>
          <t>Warrior</t>
        </is>
      </c>
      <c r="E41" t="inlineStr">
        <is>
          <t>Cavalry Officer</t>
        </is>
      </c>
      <c r="F41" t="inlineStr">
        <is>
          <t>Gold 2</t>
        </is>
      </c>
      <c r="G41" t="inlineStr">
        <is>
          <t>Intuition, Lore (Heraldry)</t>
        </is>
      </c>
      <c r="H41" t="inlineStr">
        <is>
          <t>Accurate Shot, Inspiring, Read/Write, Robust</t>
        </is>
      </c>
      <c r="I41" t="inlineStr">
        <is>
          <t>Deck of Cards, Quality Clothing</t>
        </is>
      </c>
      <c r="J41" t="inlineStr">
        <is>
          <t>|Animal Care|Charm Animal|Consume Alcohol|Cool|Language (Battle)|Melee (Cavalry)|Outdoor Survival|Perception|Ranged (Blackpowder)|Ranged (Bow)|Ride (Horse)|Charm|Endurance|Gamble|Gossip|Melee (Basic)|Play (Horn)|Intimidate|Leadership|Lore (Warfare)|Ranged (Engineering)|Intuition|Lore (Heraldry)|</t>
        </is>
      </c>
      <c r="K41" t="inlineStr">
        <is>
          <t>|Combat Aware|Dual Wielder|Lightning Reflexes|Roughrider|Etiquette (Soldiers)|Gunner|Seasoned Traveller|Trick Rider|Combat Reflexes|Fast Shot|Hatred (any)|War Leader|Accurate Shot|Inspiring|Read/Write|Robust|</t>
        </is>
      </c>
      <c r="L41" t="inlineStr">
        <is>
          <t>A dashing and fearless rider, you bring speed, versatility, and skill-at-arms to the battlefield.</t>
        </is>
      </c>
      <c r="M41" t="inlineStr">
        <is>
          <t>Ride (Horse)</t>
        </is>
      </c>
      <c r="N41" t="inlineStr">
        <is>
          <t>High Elf, Human, Wood Elf</t>
        </is>
      </c>
      <c r="O41" t="n">
        <v>54</v>
      </c>
      <c r="P41" t="n">
        <v>1</v>
      </c>
      <c r="Q41" t="n">
        <v>1</v>
      </c>
      <c r="R41" t="n">
        <v>2</v>
      </c>
      <c r="T41" t="n">
        <v>3</v>
      </c>
      <c r="U41" t="n">
        <v>1</v>
      </c>
      <c r="Y41" t="n">
        <v>4</v>
      </c>
    </row>
    <row r="42">
      <c r="A42" t="inlineStr">
        <is>
          <t>Charlatan|1</t>
        </is>
      </c>
      <c r="B42" t="inlineStr">
        <is>
          <t>Charlatan</t>
        </is>
      </c>
      <c r="C42" t="n">
        <v>1</v>
      </c>
      <c r="D42" t="inlineStr">
        <is>
          <t>Rogue</t>
        </is>
      </c>
      <c r="E42" t="inlineStr">
        <is>
          <t>Swindler</t>
        </is>
      </c>
      <c r="F42" t="inlineStr">
        <is>
          <t>Brass 3</t>
        </is>
      </c>
      <c r="G42" t="inlineStr">
        <is>
          <t>Charm, Consume Alcohol, Cool, Entertain (Acting), Entertain (Storytelling), Gamble, Gossip, Haggle, Intuition, Sleight of Hand</t>
        </is>
      </c>
      <c r="H42" t="inlineStr">
        <is>
          <t>Cardsharp, Criminal, Dicer, Fast Hands</t>
        </is>
      </c>
      <c r="I42" t="inlineStr">
        <is>
          <t>Deck of Cards, Dice, 2 Sets of Clothing</t>
        </is>
      </c>
      <c r="J42" t="inlineStr">
        <is>
          <t>|Charm|Consume Alcohol|Cool|Entertain (Acting)|Entertain (Storytelling)|Gamble|Gossip|Haggle|Intuition|Sleight of Hand|</t>
        </is>
      </c>
      <c r="K42" t="inlineStr">
        <is>
          <t>|Cardsharp|Criminal|Dicer|Fast Hands|</t>
        </is>
      </c>
      <c r="L42" t="inlineStr">
        <is>
          <t>Unscrupulous and charming, you separate fools from their money; thankfully, there is no shortage of fools…</t>
        </is>
      </c>
      <c r="M42" t="inlineStr">
        <is>
          <t>Charm</t>
        </is>
      </c>
      <c r="N42" t="inlineStr">
        <is>
          <t>Halfling, High Elf, Human</t>
        </is>
      </c>
      <c r="O42" t="n">
        <v>55</v>
      </c>
      <c r="T42" t="n">
        <v>1</v>
      </c>
      <c r="U42" t="n">
        <v>3</v>
      </c>
      <c r="V42" t="n">
        <v>1</v>
      </c>
      <c r="W42" t="n">
        <v>2</v>
      </c>
      <c r="X42" t="n">
        <v>4</v>
      </c>
      <c r="Y42" t="n">
        <v>1</v>
      </c>
    </row>
    <row r="43">
      <c r="A43" t="inlineStr">
        <is>
          <t>Charlatan|2</t>
        </is>
      </c>
      <c r="B43" t="inlineStr">
        <is>
          <t>Charlatan</t>
        </is>
      </c>
      <c r="C43" t="n">
        <v>2</v>
      </c>
      <c r="D43" t="inlineStr">
        <is>
          <t>Rogue</t>
        </is>
      </c>
      <c r="E43" t="inlineStr">
        <is>
          <t>Charlatan</t>
        </is>
      </c>
      <c r="F43" t="inlineStr">
        <is>
          <t>Brass 5</t>
        </is>
      </c>
      <c r="G43" t="inlineStr">
        <is>
          <t>Bribery, Dodge, Evaluate, Language (Thieves Tongue), Perception, Secret Signs (Thief)</t>
        </is>
      </c>
      <c r="H43" t="inlineStr">
        <is>
          <t>Blather, Etiquette (Criminals), Mimic, Secret Identity</t>
        </is>
      </c>
      <c r="I43" t="inlineStr">
        <is>
          <t>Forged Document, Colourful Mixtures, Trinkets and Charms, 2 Sets of Quality Clothing</t>
        </is>
      </c>
      <c r="J43" t="inlineStr">
        <is>
          <t>|Charm|Consume Alcohol|Cool|Entertain (Acting)|Entertain (Storytelling)|Gamble|Gossip|Haggle|Intuition|Sleight of Hand|Bribery|Dodge|Evaluate|Language (Thieves Tongue)|Perception|Secret Signs (Thief)|</t>
        </is>
      </c>
      <c r="K43" t="inlineStr">
        <is>
          <t>|Cardsharp|Criminal|Dicer|Fast Hands|Blather|Etiquette (Criminals)|Mimic|Secret Identity|</t>
        </is>
      </c>
      <c r="L43" t="inlineStr">
        <is>
          <t>Unscrupulous and charming, you separate fools from their money; thankfully, there is no shortage of fools…</t>
        </is>
      </c>
      <c r="M43" t="inlineStr">
        <is>
          <t>Charm</t>
        </is>
      </c>
      <c r="N43" t="inlineStr">
        <is>
          <t>Halfling, High Elf, Human</t>
        </is>
      </c>
      <c r="O43" t="n">
        <v>55</v>
      </c>
      <c r="T43" t="n">
        <v>1</v>
      </c>
      <c r="U43" t="n">
        <v>3</v>
      </c>
      <c r="V43" t="n">
        <v>1</v>
      </c>
      <c r="W43" t="n">
        <v>2</v>
      </c>
      <c r="X43" t="n">
        <v>4</v>
      </c>
      <c r="Y43" t="n">
        <v>1</v>
      </c>
    </row>
    <row r="44">
      <c r="A44" t="inlineStr">
        <is>
          <t>Charlatan|3</t>
        </is>
      </c>
      <c r="B44" t="inlineStr">
        <is>
          <t>Charlatan</t>
        </is>
      </c>
      <c r="C44" t="n">
        <v>3</v>
      </c>
      <c r="D44" t="inlineStr">
        <is>
          <t>Rogue</t>
        </is>
      </c>
      <c r="E44" t="inlineStr">
        <is>
          <t>Con Artist</t>
        </is>
      </c>
      <c r="F44" t="inlineStr">
        <is>
          <t>Silver 2</t>
        </is>
      </c>
      <c r="G44" t="inlineStr">
        <is>
          <t>Language (Any One), Lore (Art), Lore (Heraldry), Pick Lock</t>
        </is>
      </c>
      <c r="H44" t="inlineStr">
        <is>
          <t>Attractive, Cat-tongued, Dealmaker, Read/Write</t>
        </is>
      </c>
      <c r="I44" t="inlineStr">
        <is>
          <t>Disguise Kit, Multiple Forged Documents</t>
        </is>
      </c>
      <c r="J44" t="inlineStr">
        <is>
          <t>|Charm|Consume Alcohol|Cool|Entertain (Acting)|Entertain (Storytelling)|Gamble|Gossip|Haggle|Intuition|Sleight of Hand|Bribery|Dodge|Evaluate|Language (Thieves Tongue)|Perception|Secret Signs (Thief)|Language (any)|Lore (Art)|Lore (Heraldry)|Pick Lock|</t>
        </is>
      </c>
      <c r="K44" t="inlineStr">
        <is>
          <t>|Cardsharp|Criminal|Dicer|Fast Hands|Blather|Etiquette (Criminals)|Mimic|Secret Identity|Attractive|Cat-tongued|Dealmaker|Read/Write|</t>
        </is>
      </c>
      <c r="L44" t="inlineStr">
        <is>
          <t>Unscrupulous and charming, you separate fools from their money; thankfully, there is no shortage of fools…</t>
        </is>
      </c>
      <c r="M44" t="inlineStr">
        <is>
          <t>Charm</t>
        </is>
      </c>
      <c r="N44" t="inlineStr">
        <is>
          <t>Halfling, High Elf, Human</t>
        </is>
      </c>
      <c r="O44" t="n">
        <v>55</v>
      </c>
      <c r="T44" t="n">
        <v>1</v>
      </c>
      <c r="U44" t="n">
        <v>3</v>
      </c>
      <c r="V44" t="n">
        <v>1</v>
      </c>
      <c r="W44" t="n">
        <v>2</v>
      </c>
      <c r="X44" t="n">
        <v>4</v>
      </c>
      <c r="Y44" t="n">
        <v>1</v>
      </c>
    </row>
    <row r="45">
      <c r="A45" t="inlineStr">
        <is>
          <t>Charlatan|4</t>
        </is>
      </c>
      <c r="B45" t="inlineStr">
        <is>
          <t>Charlatan</t>
        </is>
      </c>
      <c r="C45" t="n">
        <v>4</v>
      </c>
      <c r="D45" t="inlineStr">
        <is>
          <t>Rogue</t>
        </is>
      </c>
      <c r="E45" t="inlineStr">
        <is>
          <t>Scoundrel</t>
        </is>
      </c>
      <c r="F45" t="inlineStr">
        <is>
          <t>Silver 4</t>
        </is>
      </c>
      <c r="G45" t="inlineStr">
        <is>
          <t>Lore (Genealogy), Research</t>
        </is>
      </c>
      <c r="H45" t="inlineStr">
        <is>
          <t>Gregarious, Master of Disguise, Nose for Trouble, Suave</t>
        </is>
      </c>
      <c r="I45" t="inlineStr">
        <is>
          <t>Forged Seal, Writing Kit</t>
        </is>
      </c>
      <c r="J45" t="inlineStr">
        <is>
          <t>|Charm|Consume Alcohol|Cool|Entertain (Acting)|Entertain (Storytelling)|Gamble|Gossip|Haggle|Intuition|Sleight of Hand|Bribery|Dodge|Evaluate|Language (Thieves Tongue)|Perception|Secret Signs (Thief)|Language (any)|Lore (Art)|Lore (Heraldry)|Pick Lock|Lore (Genealogy)|Research|</t>
        </is>
      </c>
      <c r="K45" t="inlineStr">
        <is>
          <t>|Cardsharp|Criminal|Dicer|Fast Hands|Blather|Etiquette (Criminals)|Mimic|Secret Identity|Attractive|Cat-tongued|Dealmaker|Read/Write|Gregarious|Master of Disguise|Nose for Trouble|Suave|</t>
        </is>
      </c>
      <c r="L45" t="inlineStr">
        <is>
          <t>Unscrupulous and charming, you separate fools from their money; thankfully, there is no shortage of fools…</t>
        </is>
      </c>
      <c r="M45" t="inlineStr">
        <is>
          <t>Charm</t>
        </is>
      </c>
      <c r="N45" t="inlineStr">
        <is>
          <t>Halfling, High Elf, Human</t>
        </is>
      </c>
      <c r="O45" t="n">
        <v>55</v>
      </c>
      <c r="T45" t="n">
        <v>1</v>
      </c>
      <c r="U45" t="n">
        <v>3</v>
      </c>
      <c r="V45" t="n">
        <v>1</v>
      </c>
      <c r="W45" t="n">
        <v>2</v>
      </c>
      <c r="X45" t="n">
        <v>4</v>
      </c>
      <c r="Y45" t="n">
        <v>1</v>
      </c>
    </row>
    <row r="46">
      <c r="A46" t="inlineStr">
        <is>
          <t>Coachman|1</t>
        </is>
      </c>
      <c r="B46" t="inlineStr">
        <is>
          <t>Coachman</t>
        </is>
      </c>
      <c r="C46" t="n">
        <v>1</v>
      </c>
      <c r="D46" t="inlineStr">
        <is>
          <t>Ranger</t>
        </is>
      </c>
      <c r="E46" t="inlineStr">
        <is>
          <t>Postilion</t>
        </is>
      </c>
      <c r="F46" t="inlineStr">
        <is>
          <t>Silver 1</t>
        </is>
      </c>
      <c r="G46" t="inlineStr">
        <is>
          <t>Animal Care, Charm Animal, Climb, Drive, Endurance, Gossip, Melee (Basic), Perception, Play (Horn), Ride (Horse)</t>
        </is>
      </c>
      <c r="H46" t="inlineStr">
        <is>
          <t>Animal Affinity, Combat Aware, Seasoned Traveller, Tenacious</t>
        </is>
      </c>
      <c r="I46" t="inlineStr">
        <is>
          <t>Coach Horn, Hat, Leather Jerkin, Warm Coat</t>
        </is>
      </c>
      <c r="J46" t="inlineStr">
        <is>
          <t>|Animal Care|Charm Animal|Climb|Drive|Endurance|Gossip|Melee (Basic)|Perception|Play (Horn)|Ride (Horse)|</t>
        </is>
      </c>
      <c r="K46" t="inlineStr">
        <is>
          <t>|Animal Affinity|Combat Aware|Seasoned Traveller|Tenacious|</t>
        </is>
      </c>
      <c r="L46" t="inlineStr">
        <is>
          <t>Determined and rugged, you deliver passengers by coach, defying the perils of the Empire's roads.</t>
        </is>
      </c>
      <c r="M46" t="inlineStr">
        <is>
          <t>Drive</t>
        </is>
      </c>
      <c r="N46" t="inlineStr">
        <is>
          <t>Dwarf, Halfling, Human</t>
        </is>
      </c>
      <c r="O46" t="n">
        <v>56</v>
      </c>
      <c r="Q46" t="n">
        <v>2</v>
      </c>
      <c r="S46" t="n">
        <v>1</v>
      </c>
      <c r="T46" t="n">
        <v>3</v>
      </c>
      <c r="U46" t="n">
        <v>1</v>
      </c>
      <c r="X46" t="n">
        <v>1</v>
      </c>
      <c r="Y46" t="n">
        <v>4</v>
      </c>
    </row>
    <row r="47">
      <c r="A47" t="inlineStr">
        <is>
          <t>Coachman|2</t>
        </is>
      </c>
      <c r="B47" t="inlineStr">
        <is>
          <t>Coachman</t>
        </is>
      </c>
      <c r="C47" t="n">
        <v>2</v>
      </c>
      <c r="D47" t="inlineStr">
        <is>
          <t>Ranger</t>
        </is>
      </c>
      <c r="E47" t="inlineStr">
        <is>
          <t>Coachman</t>
        </is>
      </c>
      <c r="F47" t="inlineStr">
        <is>
          <t>Silver 2</t>
        </is>
      </c>
      <c r="G47" t="inlineStr">
        <is>
          <t>Consume Alcohol, Intuition, Lore (Local), Navigation, Ranged (Blackpowder), Ranged (Entangling)</t>
        </is>
      </c>
      <c r="H47" t="inlineStr">
        <is>
          <t>Crack the Whip, Criminal, Gunner, Strong-minded</t>
        </is>
      </c>
      <c r="I47" t="inlineStr">
        <is>
          <t>Blunderbuss with 10 Shots, Whip</t>
        </is>
      </c>
      <c r="J47" t="inlineStr">
        <is>
          <t>|Animal Care|Charm Animal|Climb|Drive|Endurance|Gossip|Melee (Basic)|Perception|Play (Horn)|Ride (Horse)|Consume Alcohol|Intuition|Lore (Local)|Navigation|Ranged (Blackpowder)|Ranged (Entangling)|</t>
        </is>
      </c>
      <c r="K47" t="inlineStr">
        <is>
          <t>|Animal Affinity|Combat Aware|Seasoned Traveller|Tenacious|Crack the Whip|Criminal|Gunner|Strong-minded|</t>
        </is>
      </c>
      <c r="L47" t="inlineStr">
        <is>
          <t>Determined and rugged, you deliver passengers by coach, defying the perils of the Empire's roads.</t>
        </is>
      </c>
      <c r="M47" t="inlineStr">
        <is>
          <t>Drive</t>
        </is>
      </c>
      <c r="N47" t="inlineStr">
        <is>
          <t>Dwarf, Halfling, Human</t>
        </is>
      </c>
      <c r="O47" t="n">
        <v>56</v>
      </c>
      <c r="Q47" t="n">
        <v>2</v>
      </c>
      <c r="S47" t="n">
        <v>1</v>
      </c>
      <c r="T47" t="n">
        <v>3</v>
      </c>
      <c r="U47" t="n">
        <v>1</v>
      </c>
      <c r="X47" t="n">
        <v>1</v>
      </c>
      <c r="Y47" t="n">
        <v>4</v>
      </c>
    </row>
    <row r="48">
      <c r="A48" t="inlineStr">
        <is>
          <t>Coachman|3</t>
        </is>
      </c>
      <c r="B48" t="inlineStr">
        <is>
          <t>Coachman</t>
        </is>
      </c>
      <c r="C48" t="n">
        <v>3</v>
      </c>
      <c r="D48" t="inlineStr">
        <is>
          <t>Ranger</t>
        </is>
      </c>
      <c r="E48" t="inlineStr">
        <is>
          <t>Coach Master</t>
        </is>
      </c>
      <c r="F48" t="inlineStr">
        <is>
          <t>Silver 3</t>
        </is>
      </c>
      <c r="G48" t="inlineStr">
        <is>
          <t>Animal Training (Horse), Intimidate, Language (Any One), Lore (Routes)</t>
        </is>
      </c>
      <c r="H48" t="inlineStr">
        <is>
          <t>Accurate Shot, Fearless (Outlaws), Marksman, Nose for Trouble</t>
        </is>
      </c>
      <c r="I48" t="inlineStr">
        <is>
          <t>Pistol with 10 Shots, Quality Cloak</t>
        </is>
      </c>
      <c r="J48" t="inlineStr">
        <is>
          <t>|Animal Care|Charm Animal|Climb|Drive|Endurance|Gossip|Melee (Basic)|Perception|Play (Horn)|Ride (Horse)|Consume Alcohol|Intuition|Lore (Local)|Navigation|Ranged (Blackpowder)|Ranged (Entangling)|Animal Training (Horse)|Intimidate|Language (any)|Lore (Routes)|</t>
        </is>
      </c>
      <c r="K48" t="inlineStr">
        <is>
          <t>|Animal Affinity|Combat Aware|Seasoned Traveller|Tenacious|Crack the Whip|Criminal|Gunner|Strong-minded|Accurate Shot|Fearless (Outlaws)|Marksman|Nose for Trouble|</t>
        </is>
      </c>
      <c r="L48" t="inlineStr">
        <is>
          <t>Determined and rugged, you deliver passengers by coach, defying the perils of the Empire's roads.</t>
        </is>
      </c>
      <c r="M48" t="inlineStr">
        <is>
          <t>Drive</t>
        </is>
      </c>
      <c r="N48" t="inlineStr">
        <is>
          <t>Dwarf, Halfling, Human</t>
        </is>
      </c>
      <c r="O48" t="n">
        <v>56</v>
      </c>
      <c r="Q48" t="n">
        <v>2</v>
      </c>
      <c r="S48" t="n">
        <v>1</v>
      </c>
      <c r="T48" t="n">
        <v>3</v>
      </c>
      <c r="U48" t="n">
        <v>1</v>
      </c>
      <c r="X48" t="n">
        <v>1</v>
      </c>
      <c r="Y48" t="n">
        <v>4</v>
      </c>
    </row>
    <row r="49">
      <c r="A49" t="inlineStr">
        <is>
          <t>Coachman|4</t>
        </is>
      </c>
      <c r="B49" t="inlineStr">
        <is>
          <t>Coachman</t>
        </is>
      </c>
      <c r="C49" t="n">
        <v>4</v>
      </c>
      <c r="D49" t="inlineStr">
        <is>
          <t>Ranger</t>
        </is>
      </c>
      <c r="E49" t="inlineStr">
        <is>
          <t>Route Master</t>
        </is>
      </c>
      <c r="F49" t="inlineStr">
        <is>
          <t>Gold 2</t>
        </is>
      </c>
      <c r="G49" t="inlineStr">
        <is>
          <t>Haggle, Leadership</t>
        </is>
      </c>
      <c r="H49" t="inlineStr">
        <is>
          <t>Dealmaker, Etiquette (Any One), Orientation, Read/Write</t>
        </is>
      </c>
      <c r="I49" t="inlineStr">
        <is>
          <t>Fleet of Coaches and Horses, Maps</t>
        </is>
      </c>
      <c r="J49" t="inlineStr">
        <is>
          <t>|Animal Care|Charm Animal|Climb|Drive|Endurance|Gossip|Melee (Basic)|Perception|Play (Horn)|Ride (Horse)|Consume Alcohol|Intuition|Lore (Local)|Navigation|Ranged (Blackpowder)|Ranged (Entangling)|Animal Training (Horse)|Intimidate|Language (any)|Lore (Routes)|Haggle|Leadership|</t>
        </is>
      </c>
      <c r="K49" t="inlineStr">
        <is>
          <t>|Animal Affinity|Combat Aware|Seasoned Traveller|Tenacious|Crack the Whip|Criminal|Gunner|Strong-minded|Accurate Shot|Fearless (Outlaws)|Marksman|Nose for Trouble|Dealmaker|Etiquette (any)|Orientation|Read/Write|</t>
        </is>
      </c>
      <c r="L49" t="inlineStr">
        <is>
          <t>Determined and rugged, you deliver passengers by coach, defying the perils of the Empire's roads.</t>
        </is>
      </c>
      <c r="M49" t="inlineStr">
        <is>
          <t>Drive</t>
        </is>
      </c>
      <c r="N49" t="inlineStr">
        <is>
          <t>Dwarf, Halfling, Human</t>
        </is>
      </c>
      <c r="O49" t="n">
        <v>56</v>
      </c>
      <c r="Q49" t="n">
        <v>2</v>
      </c>
      <c r="S49" t="n">
        <v>1</v>
      </c>
      <c r="T49" t="n">
        <v>3</v>
      </c>
      <c r="U49" t="n">
        <v>1</v>
      </c>
      <c r="X49" t="n">
        <v>1</v>
      </c>
      <c r="Y49" t="n">
        <v>4</v>
      </c>
    </row>
    <row r="50">
      <c r="A50" t="inlineStr">
        <is>
          <t>Duellist|1</t>
        </is>
      </c>
      <c r="B50" t="inlineStr">
        <is>
          <t>Duellist</t>
        </is>
      </c>
      <c r="C50" t="n">
        <v>1</v>
      </c>
      <c r="D50" t="inlineStr">
        <is>
          <t>Courtier</t>
        </is>
      </c>
      <c r="E50" t="inlineStr">
        <is>
          <t>Fencer</t>
        </is>
      </c>
      <c r="F50" t="inlineStr">
        <is>
          <t>Silver 3</t>
        </is>
      </c>
      <c r="G50" t="inlineStr">
        <is>
          <t>Athletics, Charm, Cool, Dodge, Gamble, Heal, Intuition, Language (Classical), Melee (Any One), Perception</t>
        </is>
      </c>
      <c r="H50" t="inlineStr">
        <is>
          <t>Beat Blade, Distract, Feint, Step Aside</t>
        </is>
      </c>
      <c r="I50" t="inlineStr">
        <is>
          <t>Melee Weapon (Any), Sling Bag containing Clothing and 1d10 Bandages</t>
        </is>
      </c>
      <c r="J50" t="inlineStr">
        <is>
          <t>|Athletics|Charm|Cool|Dodge|Gamble|Heal|Intuition|Language (Classical)|Melee (any)|Perception|</t>
        </is>
      </c>
      <c r="K50" t="inlineStr">
        <is>
          <t>|Beat Blade|Distract|Feint|Step Aside|</t>
        </is>
      </c>
      <c r="L50" t="inlineStr">
        <is>
          <t>Your blade is an instrument of justice, bound by long tradition and employed with deadly precision.</t>
        </is>
      </c>
      <c r="M50" t="inlineStr">
        <is>
          <t>Melee (Any One)</t>
        </is>
      </c>
      <c r="N50" t="inlineStr">
        <is>
          <t>Dwarf, High Elf, Human</t>
        </is>
      </c>
      <c r="O50" t="n">
        <v>57</v>
      </c>
      <c r="P50" t="n">
        <v>1</v>
      </c>
      <c r="Q50" t="n">
        <v>2</v>
      </c>
      <c r="R50" t="n">
        <v>3</v>
      </c>
      <c r="T50" t="n">
        <v>1</v>
      </c>
      <c r="U50" t="n">
        <v>1</v>
      </c>
      <c r="X50" t="n">
        <v>4</v>
      </c>
    </row>
    <row r="51">
      <c r="A51" t="inlineStr">
        <is>
          <t>Duellist|2</t>
        </is>
      </c>
      <c r="B51" t="inlineStr">
        <is>
          <t>Duellist</t>
        </is>
      </c>
      <c r="C51" t="n">
        <v>2</v>
      </c>
      <c r="D51" t="inlineStr">
        <is>
          <t>Courtier</t>
        </is>
      </c>
      <c r="E51" t="inlineStr">
        <is>
          <t>Duellist</t>
        </is>
      </c>
      <c r="F51" t="inlineStr">
        <is>
          <t>Silver 4</t>
        </is>
      </c>
      <c r="G51" t="inlineStr">
        <is>
          <t>Entertain (Storytelling), Endurance, Intimidate, Melee (Any One), Ranged (Blackpowder), Trade (Gunsmith)</t>
        </is>
      </c>
      <c r="H51" t="inlineStr">
        <is>
          <t>Combat Reflexes, Dual Wielder, Etiquette (Any One), Fast Shot</t>
        </is>
      </c>
      <c r="I51" t="inlineStr">
        <is>
          <t>Main Gauche or Sword-breaker, Pistol with 10 Shots</t>
        </is>
      </c>
      <c r="J51" t="inlineStr">
        <is>
          <t>|Athletics|Charm|Cool|Dodge|Gamble|Heal|Intuition|Language (Classical)|Melee (any)|Perception|Entertain (Storytelling)|Endurance|Intimidate|Ranged (Blackpowder)|Trade (Gunsmith)|</t>
        </is>
      </c>
      <c r="K51" t="inlineStr">
        <is>
          <t>|Beat Blade|Distract|Feint|Step Aside|Combat Reflexes|Dual Wielder|Etiquette (any)|Fast Shot|</t>
        </is>
      </c>
      <c r="L51" t="inlineStr">
        <is>
          <t>Your blade is an instrument of justice, bound by long tradition and employed with deadly precision.</t>
        </is>
      </c>
      <c r="M51" t="inlineStr">
        <is>
          <t>Melee (Any One)</t>
        </is>
      </c>
      <c r="N51" t="inlineStr">
        <is>
          <t>Dwarf, High Elf, Human</t>
        </is>
      </c>
      <c r="O51" t="n">
        <v>57</v>
      </c>
      <c r="P51" t="n">
        <v>1</v>
      </c>
      <c r="Q51" t="n">
        <v>2</v>
      </c>
      <c r="R51" t="n">
        <v>3</v>
      </c>
      <c r="T51" t="n">
        <v>1</v>
      </c>
      <c r="U51" t="n">
        <v>1</v>
      </c>
      <c r="X51" t="n">
        <v>4</v>
      </c>
    </row>
    <row r="52">
      <c r="A52" t="inlineStr">
        <is>
          <t>Duellist|3</t>
        </is>
      </c>
      <c r="B52" t="inlineStr">
        <is>
          <t>Duellist</t>
        </is>
      </c>
      <c r="C52" t="n">
        <v>3</v>
      </c>
      <c r="D52" t="inlineStr">
        <is>
          <t>Courtier</t>
        </is>
      </c>
      <c r="E52" t="inlineStr">
        <is>
          <t>Duelmaster</t>
        </is>
      </c>
      <c r="F52" t="inlineStr">
        <is>
          <t>Gold 1</t>
        </is>
      </c>
      <c r="G52" t="inlineStr">
        <is>
          <t>Leadership, Lore (Warfare), Melee (Any One), Perform (Acrobatics)</t>
        </is>
      </c>
      <c r="H52" t="inlineStr">
        <is>
          <t>Ambidextrous, Disarm, Reversal, Riposte</t>
        </is>
      </c>
      <c r="I52" t="inlineStr">
        <is>
          <t>Hand Weapon, Quality Rapier, Trusty Second, 2 Wooden Training Swords</t>
        </is>
      </c>
      <c r="J52" t="inlineStr">
        <is>
          <t>|Athletics|Charm|Cool|Dodge|Gamble|Heal|Intuition|Language (Classical)|Melee (any)|Perception|Entertain (Storytelling)|Endurance|Intimidate|Ranged (Blackpowder)|Trade (Gunsmith)|Leadership|Lore (Warfare)|Perform (Acrobatics)|</t>
        </is>
      </c>
      <c r="K52" t="inlineStr">
        <is>
          <t>|Beat Blade|Distract|Feint|Step Aside|Combat Reflexes|Dual Wielder|Etiquette (any)|Fast Shot|Ambidextrous|Disarm|Reversal|Riposte|</t>
        </is>
      </c>
      <c r="L52" t="inlineStr">
        <is>
          <t>Your blade is an instrument of justice, bound by long tradition and employed with deadly precision.</t>
        </is>
      </c>
      <c r="M52" t="inlineStr">
        <is>
          <t>Melee (Any One)</t>
        </is>
      </c>
      <c r="N52" t="inlineStr">
        <is>
          <t>Dwarf, High Elf, Human</t>
        </is>
      </c>
      <c r="O52" t="n">
        <v>57</v>
      </c>
      <c r="P52" t="n">
        <v>1</v>
      </c>
      <c r="Q52" t="n">
        <v>2</v>
      </c>
      <c r="R52" t="n">
        <v>3</v>
      </c>
      <c r="T52" t="n">
        <v>1</v>
      </c>
      <c r="U52" t="n">
        <v>1</v>
      </c>
      <c r="X52" t="n">
        <v>4</v>
      </c>
    </row>
    <row r="53">
      <c r="A53" t="inlineStr">
        <is>
          <t>Duellist|4</t>
        </is>
      </c>
      <c r="B53" t="inlineStr">
        <is>
          <t>Duellist</t>
        </is>
      </c>
      <c r="C53" t="n">
        <v>4</v>
      </c>
      <c r="D53" t="inlineStr">
        <is>
          <t>Courtier</t>
        </is>
      </c>
      <c r="E53" t="inlineStr">
        <is>
          <t>Judicial Champion</t>
        </is>
      </c>
      <c r="F53" t="inlineStr">
        <is>
          <t>Gold 2</t>
        </is>
      </c>
      <c r="G53" t="inlineStr">
        <is>
          <t>Lore (Law), Melee (Any One)</t>
        </is>
      </c>
      <c r="H53" t="inlineStr">
        <is>
          <t>Combat Master, Menacing, Reaction Strike, Strike to Injure</t>
        </is>
      </c>
      <c r="I53" t="inlineStr">
        <is>
          <t>2 Quality Weapons</t>
        </is>
      </c>
      <c r="J53" t="inlineStr">
        <is>
          <t>|Athletics|Charm|Cool|Dodge|Gamble|Heal|Intuition|Language (Classical)|Melee (any)|Perception|Entertain (Storytelling)|Endurance|Intimidate|Ranged (Blackpowder)|Trade (Gunsmith)|Leadership|Lore (Warfare)|Perform (Acrobatics)|Lore (Law)|</t>
        </is>
      </c>
      <c r="K53" t="inlineStr">
        <is>
          <t>|Beat Blade|Distract|Feint|Step Aside|Combat Reflexes|Dual Wielder|Etiquette (any)|Fast Shot|Ambidextrous|Disarm|Reversal|Riposte|Combat Master|Menacing|Reaction Strike|Strike to Injure|</t>
        </is>
      </c>
      <c r="L53" t="inlineStr">
        <is>
          <t>Your blade is an instrument of justice, bound by long tradition and employed with deadly precision.</t>
        </is>
      </c>
      <c r="M53" t="inlineStr">
        <is>
          <t>Melee (Any One)</t>
        </is>
      </c>
      <c r="N53" t="inlineStr">
        <is>
          <t>Dwarf, High Elf, Human</t>
        </is>
      </c>
      <c r="O53" t="n">
        <v>57</v>
      </c>
      <c r="P53" t="n">
        <v>1</v>
      </c>
      <c r="Q53" t="n">
        <v>2</v>
      </c>
      <c r="R53" t="n">
        <v>3</v>
      </c>
      <c r="T53" t="n">
        <v>1</v>
      </c>
      <c r="U53" t="n">
        <v>1</v>
      </c>
      <c r="X53" t="n">
        <v>4</v>
      </c>
    </row>
    <row r="54">
      <c r="A54" t="inlineStr">
        <is>
          <t>Engineer|1</t>
        </is>
      </c>
      <c r="B54" t="inlineStr">
        <is>
          <t>Engineer</t>
        </is>
      </c>
      <c r="C54" t="n">
        <v>1</v>
      </c>
      <c r="D54" t="inlineStr">
        <is>
          <t>Academic</t>
        </is>
      </c>
      <c r="E54" t="inlineStr">
        <is>
          <t>Student Engineer</t>
        </is>
      </c>
      <c r="F54" t="inlineStr">
        <is>
          <t>Brass 4</t>
        </is>
      </c>
      <c r="G54" t="inlineStr">
        <is>
          <t>Art (Drawing), Consume Alcohol, Cool, Endurance, Evaluate, Language (Classical), Lore (Engineering), Ranged (Engineering), Research, Trade (Engineer)</t>
        </is>
      </c>
      <c r="H54" t="inlineStr">
        <is>
          <t>Craftsman (Engineer), Read/Write, Tinker, Unshakeable</t>
        </is>
      </c>
      <c r="I54" t="inlineStr">
        <is>
          <t>Book (Engineer), Hammer and Spikes</t>
        </is>
      </c>
      <c r="J54" t="inlineStr">
        <is>
          <t>|Art (Drawing)|Consume Alcohol|Cool|Endurance|Evaluate|Language (Classical)|Lore (Engineering)|Ranged (Engineering)|Research|Trade (Engineer)|</t>
        </is>
      </c>
      <c r="K54" t="inlineStr">
        <is>
          <t>|Craftsman (Engineer)|Read/Write|Tinker|Unshakeable|</t>
        </is>
      </c>
      <c r="L54" t="inlineStr">
        <is>
          <t>You create machines and constructions both useful and bizarre, and occasionally downright deadly.</t>
        </is>
      </c>
      <c r="M54" t="inlineStr">
        <is>
          <t>Trade (Engineer)</t>
        </is>
      </c>
      <c r="N54" t="inlineStr">
        <is>
          <t>Dwarf, Halfling, Human</t>
        </is>
      </c>
      <c r="O54" t="n">
        <v>58</v>
      </c>
      <c r="Q54" t="n">
        <v>2</v>
      </c>
      <c r="R54" t="n">
        <v>1</v>
      </c>
      <c r="T54" t="n">
        <v>3</v>
      </c>
      <c r="V54" t="n">
        <v>1</v>
      </c>
      <c r="W54" t="n">
        <v>1</v>
      </c>
      <c r="X54" t="n">
        <v>4</v>
      </c>
    </row>
    <row r="55">
      <c r="A55" t="inlineStr">
        <is>
          <t>Engineer|2</t>
        </is>
      </c>
      <c r="B55" t="inlineStr">
        <is>
          <t>Engineer</t>
        </is>
      </c>
      <c r="C55" t="n">
        <v>2</v>
      </c>
      <c r="D55" t="inlineStr">
        <is>
          <t>Academic</t>
        </is>
      </c>
      <c r="E55" t="inlineStr">
        <is>
          <t>Engineer</t>
        </is>
      </c>
      <c r="F55" t="inlineStr">
        <is>
          <t>Silver 3</t>
        </is>
      </c>
      <c r="G55" t="inlineStr">
        <is>
          <t>Drive, Language (Guilder), Lore (Science), Navigation, Ride (Horse), Secret Signs (Guilder)</t>
        </is>
      </c>
      <c r="H55" t="inlineStr">
        <is>
          <t>Etiquette (Guilder), Etiquette (Scholars), Gunner, Marksman</t>
        </is>
      </c>
      <c r="I55" t="inlineStr">
        <is>
          <t>Guild Licence, Trade Tools (Engineer)</t>
        </is>
      </c>
      <c r="J55" t="inlineStr">
        <is>
          <t>|Art (Drawing)|Consume Alcohol|Cool|Endurance|Evaluate|Language (Classical)|Lore (Engineering)|Ranged (Engineering)|Research|Trade (Engineer)|Drive|Language (Guilder)|Lore (Science)|Navigation|Ride (Horse)|Secret Signs (Guilder)|</t>
        </is>
      </c>
      <c r="K55" t="inlineStr">
        <is>
          <t>|Craftsman (Engineer)|Read/Write|Tinker|Unshakeable|Etiquette (Guilder)|Etiquette (Scholars)|Gunner|Marksman|</t>
        </is>
      </c>
      <c r="L55" t="inlineStr">
        <is>
          <t>You create machines and constructions both useful and bizarre, and occasionally downright deadly.</t>
        </is>
      </c>
      <c r="M55" t="inlineStr">
        <is>
          <t>Trade (Engineer)</t>
        </is>
      </c>
      <c r="N55" t="inlineStr">
        <is>
          <t>Dwarf, Halfling, Human</t>
        </is>
      </c>
      <c r="O55" t="n">
        <v>58</v>
      </c>
      <c r="Q55" t="n">
        <v>2</v>
      </c>
      <c r="R55" t="n">
        <v>1</v>
      </c>
      <c r="T55" t="n">
        <v>3</v>
      </c>
      <c r="V55" t="n">
        <v>1</v>
      </c>
      <c r="W55" t="n">
        <v>1</v>
      </c>
      <c r="X55" t="n">
        <v>4</v>
      </c>
    </row>
    <row r="56">
      <c r="A56" t="inlineStr">
        <is>
          <t>Engineer|3</t>
        </is>
      </c>
      <c r="B56" t="inlineStr">
        <is>
          <t>Engineer</t>
        </is>
      </c>
      <c r="C56" t="n">
        <v>3</v>
      </c>
      <c r="D56" t="inlineStr">
        <is>
          <t>Academic</t>
        </is>
      </c>
      <c r="E56" t="inlineStr">
        <is>
          <t>Master Engineer</t>
        </is>
      </c>
      <c r="F56" t="inlineStr">
        <is>
          <t>Silver 5</t>
        </is>
      </c>
      <c r="G56" t="inlineStr">
        <is>
          <t>Animal Training (Pigeon), Dodge, Language (Khazalid), Leadership</t>
        </is>
      </c>
      <c r="H56" t="inlineStr">
        <is>
          <t>Master Tradesman (Engineer), Orientation, Sniper, Super Numerate</t>
        </is>
      </c>
      <c r="I56" t="inlineStr">
        <is>
          <t>Workshop (Engineer)</t>
        </is>
      </c>
      <c r="J56" t="inlineStr">
        <is>
          <t>|Art (Drawing)|Consume Alcohol|Cool|Endurance|Evaluate|Language (Classical)|Lore (Engineering)|Ranged (Engineering)|Research|Trade (Engineer)|Drive|Language (Guilder)|Lore (Science)|Navigation|Ride (Horse)|Secret Signs (Guilder)|Animal Training (Pigeon)|Dodge|Language (Khazalid)|Leadership|</t>
        </is>
      </c>
      <c r="K56" t="inlineStr">
        <is>
          <t>|Craftsman (Engineer)|Read/Write|Tinker|Unshakeable|Etiquette (Guilder)|Etiquette (Scholars)|Gunner|Marksman|Master Tradesman (Engineer)|Orientation|Sniper|Super Numerate|</t>
        </is>
      </c>
      <c r="L56" t="inlineStr">
        <is>
          <t>You create machines and constructions both useful and bizarre, and occasionally downright deadly.</t>
        </is>
      </c>
      <c r="M56" t="inlineStr">
        <is>
          <t>Trade (Engineer)</t>
        </is>
      </c>
      <c r="N56" t="inlineStr">
        <is>
          <t>Dwarf, Halfling, Human</t>
        </is>
      </c>
      <c r="O56" t="n">
        <v>58</v>
      </c>
      <c r="Q56" t="n">
        <v>2</v>
      </c>
      <c r="R56" t="n">
        <v>1</v>
      </c>
      <c r="T56" t="n">
        <v>3</v>
      </c>
      <c r="V56" t="n">
        <v>1</v>
      </c>
      <c r="W56" t="n">
        <v>1</v>
      </c>
      <c r="X56" t="n">
        <v>4</v>
      </c>
    </row>
    <row r="57">
      <c r="A57" t="inlineStr">
        <is>
          <t>Engineer|4</t>
        </is>
      </c>
      <c r="B57" t="inlineStr">
        <is>
          <t>Engineer</t>
        </is>
      </c>
      <c r="C57" t="n">
        <v>4</v>
      </c>
      <c r="D57" t="inlineStr">
        <is>
          <t>Academic</t>
        </is>
      </c>
      <c r="E57" t="inlineStr">
        <is>
          <t>Chartered Engineer</t>
        </is>
      </c>
      <c r="F57" t="inlineStr">
        <is>
          <t>Gold 2</t>
        </is>
      </c>
      <c r="G57" t="inlineStr">
        <is>
          <t>Language (Any One), Perception</t>
        </is>
      </c>
      <c r="H57" t="inlineStr">
        <is>
          <t>Embezzle, Magnum Opus, Rapid Reload, Savant (Engineering)</t>
        </is>
      </c>
      <c r="I57" t="inlineStr">
        <is>
          <t>Library (Engineering), Quality Trade Tools (Engineer), Large Workshop (Engineer)</t>
        </is>
      </c>
      <c r="J57" t="inlineStr">
        <is>
          <t>|Art (Drawing)|Consume Alcohol|Cool|Endurance|Evaluate|Language (Classical)|Lore (Engineering)|Ranged (Engineering)|Research|Trade (Engineer)|Drive|Language (Guilder)|Lore (Science)|Navigation|Ride (Horse)|Secret Signs (Guilder)|Animal Training (Pigeon)|Dodge|Language (Khazalid)|Leadership|Language (any)|Perception|</t>
        </is>
      </c>
      <c r="K57" t="inlineStr">
        <is>
          <t>|Craftsman (Engineer)|Read/Write|Tinker|Unshakeable|Etiquette (Guilder)|Etiquette (Scholars)|Gunner|Marksman|Master Tradesman (Engineer)|Orientation|Sniper|Super Numerate|Embezzle|Magnum Opus|Rapid Reload|Savant (Engineering)|</t>
        </is>
      </c>
      <c r="L57" t="inlineStr">
        <is>
          <t>You create machines and constructions both useful and bizarre, and occasionally downright deadly.</t>
        </is>
      </c>
      <c r="M57" t="inlineStr">
        <is>
          <t>Trade (Engineer)</t>
        </is>
      </c>
      <c r="N57" t="inlineStr">
        <is>
          <t>Dwarf, Halfling, Human</t>
        </is>
      </c>
      <c r="O57" t="n">
        <v>58</v>
      </c>
      <c r="Q57" t="n">
        <v>2</v>
      </c>
      <c r="R57" t="n">
        <v>1</v>
      </c>
      <c r="T57" t="n">
        <v>3</v>
      </c>
      <c r="V57" t="n">
        <v>1</v>
      </c>
      <c r="W57" t="n">
        <v>1</v>
      </c>
      <c r="X57" t="n">
        <v>4</v>
      </c>
    </row>
    <row r="58">
      <c r="A58" t="inlineStr">
        <is>
          <t>Entertainer|1</t>
        </is>
      </c>
      <c r="B58" t="inlineStr">
        <is>
          <t>Entertainer</t>
        </is>
      </c>
      <c r="C58" t="n">
        <v>1</v>
      </c>
      <c r="D58" t="inlineStr">
        <is>
          <t>Ranger</t>
        </is>
      </c>
      <c r="E58" t="inlineStr">
        <is>
          <t>Busker</t>
        </is>
      </c>
      <c r="F58" t="inlineStr">
        <is>
          <t>Brass 3</t>
        </is>
      </c>
      <c r="G58" t="inlineStr">
        <is>
          <t>Athletics, Charm, Consume Alcohol, Dodge, Entertain (Any One), Gossip, Haggle, Perform (Any One), Play (Any One), Sleight of Hand</t>
        </is>
      </c>
      <c r="H58" t="inlineStr">
        <is>
          <t>Attractive, Mimic, Perfect Pitch, Suave</t>
        </is>
      </c>
      <c r="I58" t="inlineStr">
        <is>
          <t>Bowl, Musical Instrument</t>
        </is>
      </c>
      <c r="J58" t="inlineStr">
        <is>
          <t>|Athletics|Charm|Consume Alcohol|Dodge|Entertain (any)|Gossip|Haggle|Perform (any)|Play (any)|Sleight of Hand|</t>
        </is>
      </c>
      <c r="K58" t="inlineStr">
        <is>
          <t>|Attractive|Mimic|Perfect Pitch|Suave|</t>
        </is>
      </c>
      <c r="L58" t="inlineStr">
        <is>
          <t>From the village green to the grandest theatre, you bring diversion and enjoyment to the people.</t>
        </is>
      </c>
      <c r="M58" t="inlineStr">
        <is>
          <t>Entertain (Any One)</t>
        </is>
      </c>
      <c r="N58" t="inlineStr">
        <is>
          <t>Dwarf, Halfling, High Elf, Human, Wood Elf</t>
        </is>
      </c>
      <c r="O58" t="n">
        <v>59</v>
      </c>
      <c r="P58" t="n">
        <v>2</v>
      </c>
      <c r="Q58" t="n">
        <v>3</v>
      </c>
      <c r="S58" t="n">
        <v>4</v>
      </c>
      <c r="U58" t="n">
        <v>1</v>
      </c>
      <c r="V58" t="n">
        <v>1</v>
      </c>
      <c r="Y58" t="n">
        <v>1</v>
      </c>
    </row>
    <row r="59">
      <c r="A59" t="inlineStr">
        <is>
          <t>Entertainer|2</t>
        </is>
      </c>
      <c r="B59" t="inlineStr">
        <is>
          <t>Entertainer</t>
        </is>
      </c>
      <c r="C59" t="n">
        <v>2</v>
      </c>
      <c r="D59" t="inlineStr">
        <is>
          <t>Ranger</t>
        </is>
      </c>
      <c r="E59" t="inlineStr">
        <is>
          <t>Entertainer</t>
        </is>
      </c>
      <c r="F59" t="inlineStr">
        <is>
          <t>Brass 5</t>
        </is>
      </c>
      <c r="G59" t="inlineStr">
        <is>
          <t>Entertain (Any One), Melee (Basic), Perform (Any One), Play (Any One), Ranged (Throwing), Ride (Any One)</t>
        </is>
      </c>
      <c r="H59" t="inlineStr">
        <is>
          <t>Contortionist, Jump Up, Sharpshooter, Trick Rider</t>
        </is>
      </c>
      <c r="I59" t="inlineStr">
        <is>
          <t>Costume, Instrument, 5 Throwing Knives</t>
        </is>
      </c>
      <c r="J59" t="inlineStr">
        <is>
          <t>|Athletics|Charm|Consume Alcohol|Dodge|Entertain (any)|Gossip|Haggle|Perform (any)|Play (any)|Sleight of Hand|Melee (Basic)|Ranged (Throwing)|Ride (any)|</t>
        </is>
      </c>
      <c r="K59" t="inlineStr">
        <is>
          <t>|Attractive|Mimic|Perfect Pitch|Suave|Contortionist|Jump Up|Sharpshooter|Trick Rider|</t>
        </is>
      </c>
      <c r="L59" t="inlineStr">
        <is>
          <t>From the village green to the grandest theatre, you bring diversion and enjoyment to the people.</t>
        </is>
      </c>
      <c r="M59" t="inlineStr">
        <is>
          <t>Entertain (Any One)</t>
        </is>
      </c>
      <c r="N59" t="inlineStr">
        <is>
          <t>Dwarf, Halfling, High Elf, Human, Wood Elf</t>
        </is>
      </c>
      <c r="O59" t="n">
        <v>59</v>
      </c>
      <c r="P59" t="n">
        <v>2</v>
      </c>
      <c r="Q59" t="n">
        <v>3</v>
      </c>
      <c r="S59" t="n">
        <v>4</v>
      </c>
      <c r="U59" t="n">
        <v>1</v>
      </c>
      <c r="V59" t="n">
        <v>1</v>
      </c>
      <c r="Y59" t="n">
        <v>1</v>
      </c>
    </row>
    <row r="60">
      <c r="A60" t="inlineStr">
        <is>
          <t>Entertainer|3</t>
        </is>
      </c>
      <c r="B60" t="inlineStr">
        <is>
          <t>Entertainer</t>
        </is>
      </c>
      <c r="C60" t="n">
        <v>3</v>
      </c>
      <c r="D60" t="inlineStr">
        <is>
          <t>Ranger</t>
        </is>
      </c>
      <c r="E60" t="inlineStr">
        <is>
          <t>Troubadour</t>
        </is>
      </c>
      <c r="F60" t="inlineStr">
        <is>
          <t>Silver 3</t>
        </is>
      </c>
      <c r="G60" t="inlineStr">
        <is>
          <t>Animal Care, Animal Training (Any One), Art (Writing), Language (Any One)</t>
        </is>
      </c>
      <c r="H60" t="inlineStr">
        <is>
          <t>Blather, Master of Disguise, Public Speaker, Read/Write</t>
        </is>
      </c>
      <c r="I60" t="inlineStr">
        <is>
          <t>Trained Animal, Writing Kit</t>
        </is>
      </c>
      <c r="J60" t="inlineStr">
        <is>
          <t>|Athletics|Charm|Consume Alcohol|Dodge|Entertain (any)|Gossip|Haggle|Perform (any)|Play (any)|Sleight of Hand|Melee (Basic)|Ranged (Throwing)|Ride (any)|Animal Care|Animal Training (any)|Art (Writing)|Language (any)|</t>
        </is>
      </c>
      <c r="K60" t="inlineStr">
        <is>
          <t>|Attractive|Mimic|Perfect Pitch|Suave|Contortionist|Jump Up|Sharpshooter|Trick Rider|Blather|Master of Disguise|Public Speaker|Read/Write|</t>
        </is>
      </c>
      <c r="L60" t="inlineStr">
        <is>
          <t>From the village green to the grandest theatre, you bring diversion and enjoyment to the people.</t>
        </is>
      </c>
      <c r="M60" t="inlineStr">
        <is>
          <t>Entertain (Any One)</t>
        </is>
      </c>
      <c r="N60" t="inlineStr">
        <is>
          <t>Dwarf, Halfling, High Elf, Human, Wood Elf</t>
        </is>
      </c>
      <c r="O60" t="n">
        <v>59</v>
      </c>
      <c r="P60" t="n">
        <v>2</v>
      </c>
      <c r="Q60" t="n">
        <v>3</v>
      </c>
      <c r="S60" t="n">
        <v>4</v>
      </c>
      <c r="U60" t="n">
        <v>1</v>
      </c>
      <c r="V60" t="n">
        <v>1</v>
      </c>
      <c r="Y60" t="n">
        <v>1</v>
      </c>
    </row>
    <row r="61">
      <c r="A61" t="inlineStr">
        <is>
          <t>Entertainer|4</t>
        </is>
      </c>
      <c r="B61" t="inlineStr">
        <is>
          <t>Entertainer</t>
        </is>
      </c>
      <c r="C61" t="n">
        <v>4</v>
      </c>
      <c r="D61" t="inlineStr">
        <is>
          <t>Ranger</t>
        </is>
      </c>
      <c r="E61" t="inlineStr">
        <is>
          <t>Troupe Leader</t>
        </is>
      </c>
      <c r="F61" t="inlineStr">
        <is>
          <t>Gold 1</t>
        </is>
      </c>
      <c r="G61" t="inlineStr">
        <is>
          <t>Drive, Leadership</t>
        </is>
      </c>
      <c r="H61" t="inlineStr">
        <is>
          <t>Dealmaker, Etiquette (Any One), Seasoned Traveller, Sharp</t>
        </is>
      </c>
      <c r="I61" t="inlineStr">
        <is>
          <t>Draught Horses and Wagon (Stage), Troupe of Entertainers, Wardrobe of Costumes and Props</t>
        </is>
      </c>
      <c r="J61" t="inlineStr">
        <is>
          <t>|Athletics|Charm|Consume Alcohol|Dodge|Entertain (any)|Gossip|Haggle|Perform (any)|Play (any)|Sleight of Hand|Melee (Basic)|Ranged (Throwing)|Ride (any)|Animal Care|Animal Training (any)|Art (Writing)|Language (any)|Drive|Leadership|</t>
        </is>
      </c>
      <c r="K61" t="inlineStr">
        <is>
          <t>|Attractive|Mimic|Perfect Pitch|Suave|Contortionist|Jump Up|Sharpshooter|Trick Rider|Blather|Master of Disguise|Public Speaker|Read/Write|Dealmaker|Etiquette (any)|Seasoned Traveller|Sharp|</t>
        </is>
      </c>
      <c r="L61" t="inlineStr">
        <is>
          <t>From the village green to the grandest theatre, you bring diversion and enjoyment to the people.</t>
        </is>
      </c>
      <c r="M61" t="inlineStr">
        <is>
          <t>Entertain (Any One)</t>
        </is>
      </c>
      <c r="N61" t="inlineStr">
        <is>
          <t>Dwarf, Halfling, High Elf, Human, Wood Elf</t>
        </is>
      </c>
      <c r="O61" t="n">
        <v>59</v>
      </c>
      <c r="P61" t="n">
        <v>2</v>
      </c>
      <c r="Q61" t="n">
        <v>3</v>
      </c>
      <c r="S61" t="n">
        <v>4</v>
      </c>
      <c r="U61" t="n">
        <v>1</v>
      </c>
      <c r="V61" t="n">
        <v>1</v>
      </c>
      <c r="Y61" t="n">
        <v>1</v>
      </c>
    </row>
    <row r="62">
      <c r="A62" t="inlineStr">
        <is>
          <t>Envoy|1</t>
        </is>
      </c>
      <c r="B62" t="inlineStr">
        <is>
          <t>Envoy</t>
        </is>
      </c>
      <c r="C62" t="n">
        <v>1</v>
      </c>
      <c r="D62" t="inlineStr">
        <is>
          <t>Courtier</t>
        </is>
      </c>
      <c r="E62" t="inlineStr">
        <is>
          <t>Herald</t>
        </is>
      </c>
      <c r="F62" t="inlineStr">
        <is>
          <t>Silver 2</t>
        </is>
      </c>
      <c r="G62" t="inlineStr">
        <is>
          <t>Art (Writing), Athletics, Charm, Dodge, Drive, Endurance, Haggle, Lore (Heraldry), Lore (Politics), Ride (Horse)</t>
        </is>
      </c>
      <c r="H62" t="inlineStr">
        <is>
          <t>Blather, Etiquette (Nobles), Read/Write, Suave</t>
        </is>
      </c>
      <c r="I62" t="inlineStr">
        <is>
          <t>Leather Jack, Livery, Scroll Case</t>
        </is>
      </c>
      <c r="J62" t="inlineStr">
        <is>
          <t>|Art (Writing)|Athletics|Charm|Dodge|Drive|Endurance|Haggle|Lore (Heraldry)|Lore (Politics)|Ride (Horse)|</t>
        </is>
      </c>
      <c r="K62" t="inlineStr">
        <is>
          <t>|Blather|Etiquette (Nobles)|Read/Write|Suave|</t>
        </is>
      </c>
      <c r="L62" t="inlineStr">
        <is>
          <t>An articulate emissary, you travel far and wide to negotiate favourable pacts and treaties.</t>
        </is>
      </c>
      <c r="M62" t="inlineStr">
        <is>
          <t>Charm</t>
        </is>
      </c>
      <c r="N62" t="inlineStr">
        <is>
          <t>Dwarf, Halfling, High Elf, Human, Wood Elf</t>
        </is>
      </c>
      <c r="O62" t="n">
        <v>60</v>
      </c>
      <c r="S62" t="n">
        <v>1</v>
      </c>
      <c r="T62" t="n">
        <v>2</v>
      </c>
      <c r="V62" t="n">
        <v>4</v>
      </c>
      <c r="W62" t="n">
        <v>1</v>
      </c>
      <c r="X62" t="n">
        <v>3</v>
      </c>
      <c r="Y62" t="n">
        <v>1</v>
      </c>
    </row>
    <row r="63">
      <c r="A63" t="inlineStr">
        <is>
          <t>Envoy|2</t>
        </is>
      </c>
      <c r="B63" t="inlineStr">
        <is>
          <t>Envoy</t>
        </is>
      </c>
      <c r="C63" t="n">
        <v>2</v>
      </c>
      <c r="D63" t="inlineStr">
        <is>
          <t>Courtier</t>
        </is>
      </c>
      <c r="E63" t="inlineStr">
        <is>
          <t>Envoy</t>
        </is>
      </c>
      <c r="F63" t="inlineStr">
        <is>
          <t>Silver 4</t>
        </is>
      </c>
      <c r="G63" t="inlineStr">
        <is>
          <t>Bribery, Cool, Entertain (Storytelling), Gossip, Intuition, Language (Any One)</t>
        </is>
      </c>
      <c r="H63" t="inlineStr">
        <is>
          <t>Etiquette (Any One), Gregarious, Linguistics, Seasoned Traveller</t>
        </is>
      </c>
      <c r="I63" t="inlineStr">
        <is>
          <t>10 Sheets of Parchment, Writing Kit</t>
        </is>
      </c>
      <c r="J63" t="inlineStr">
        <is>
          <t>|Art (Writing)|Athletics|Charm|Dodge|Drive|Endurance|Haggle|Lore (Heraldry)|Lore (Politics)|Ride (Horse)|Bribery|Cool|Entertain (Storytelling)|Gossip|Intuition|Language (any)|</t>
        </is>
      </c>
      <c r="K63" t="inlineStr">
        <is>
          <t>|Blather|Etiquette (Nobles)|Read/Write|Suave|Etiquette (any)|Gregarious|Linguistics|Seasoned Traveller|</t>
        </is>
      </c>
      <c r="L63" t="inlineStr">
        <is>
          <t>An articulate emissary, you travel far and wide to negotiate favourable pacts and treaties.</t>
        </is>
      </c>
      <c r="M63" t="inlineStr">
        <is>
          <t>Charm</t>
        </is>
      </c>
      <c r="N63" t="inlineStr">
        <is>
          <t>Dwarf, Halfling, High Elf, Human, Wood Elf</t>
        </is>
      </c>
      <c r="O63" t="n">
        <v>60</v>
      </c>
      <c r="S63" t="n">
        <v>1</v>
      </c>
      <c r="T63" t="n">
        <v>2</v>
      </c>
      <c r="V63" t="n">
        <v>4</v>
      </c>
      <c r="W63" t="n">
        <v>1</v>
      </c>
      <c r="X63" t="n">
        <v>3</v>
      </c>
      <c r="Y63" t="n">
        <v>1</v>
      </c>
    </row>
    <row r="64">
      <c r="A64" t="inlineStr">
        <is>
          <t>Envoy|3</t>
        </is>
      </c>
      <c r="B64" t="inlineStr">
        <is>
          <t>Envoy</t>
        </is>
      </c>
      <c r="C64" t="n">
        <v>3</v>
      </c>
      <c r="D64" t="inlineStr">
        <is>
          <t>Courtier</t>
        </is>
      </c>
      <c r="E64" t="inlineStr">
        <is>
          <t>Diplomat</t>
        </is>
      </c>
      <c r="F64" t="inlineStr">
        <is>
          <t>Gold 2</t>
        </is>
      </c>
      <c r="G64" t="inlineStr">
        <is>
          <t>Consume Alcohol, Intimidate, Language (Any One), Leadership</t>
        </is>
      </c>
      <c r="H64" t="inlineStr">
        <is>
          <t>Carouser, Cat-tongued, Dealmaker, Schemer</t>
        </is>
      </c>
      <c r="I64" t="inlineStr">
        <is>
          <t>Aide, Quality Clothes, Map</t>
        </is>
      </c>
      <c r="J64" t="inlineStr">
        <is>
          <t>|Art (Writing)|Athletics|Charm|Dodge|Drive|Endurance|Haggle|Lore (Heraldry)|Lore (Politics)|Ride (Horse)|Bribery|Cool|Entertain (Storytelling)|Gossip|Intuition|Language (any)|Consume Alcohol|Intimidate|Leadership|</t>
        </is>
      </c>
      <c r="K64" t="inlineStr">
        <is>
          <t>|Blather|Etiquette (Nobles)|Read/Write|Suave|Etiquette (any)|Gregarious|Linguistics|Seasoned Traveller|Carouser|Cat-tongued|Dealmaker|Schemer|</t>
        </is>
      </c>
      <c r="L64" t="inlineStr">
        <is>
          <t>An articulate emissary, you travel far and wide to negotiate favourable pacts and treaties.</t>
        </is>
      </c>
      <c r="M64" t="inlineStr">
        <is>
          <t>Charm</t>
        </is>
      </c>
      <c r="N64" t="inlineStr">
        <is>
          <t>Dwarf, Halfling, High Elf, Human, Wood Elf</t>
        </is>
      </c>
      <c r="O64" t="n">
        <v>60</v>
      </c>
      <c r="S64" t="n">
        <v>1</v>
      </c>
      <c r="T64" t="n">
        <v>2</v>
      </c>
      <c r="V64" t="n">
        <v>4</v>
      </c>
      <c r="W64" t="n">
        <v>1</v>
      </c>
      <c r="X64" t="n">
        <v>3</v>
      </c>
      <c r="Y64" t="n">
        <v>1</v>
      </c>
    </row>
    <row r="65">
      <c r="A65" t="inlineStr">
        <is>
          <t>Envoy|4</t>
        </is>
      </c>
      <c r="B65" t="inlineStr">
        <is>
          <t>Envoy</t>
        </is>
      </c>
      <c r="C65" t="n">
        <v>4</v>
      </c>
      <c r="D65" t="inlineStr">
        <is>
          <t>Courtier</t>
        </is>
      </c>
      <c r="E65" t="inlineStr">
        <is>
          <t>Ambassador</t>
        </is>
      </c>
      <c r="F65" t="inlineStr">
        <is>
          <t>Gold 5</t>
        </is>
      </c>
      <c r="G65" t="inlineStr">
        <is>
          <t>Lore (All), Secret Signs (Any One)</t>
        </is>
      </c>
      <c r="H65" t="inlineStr">
        <is>
          <t>Briber, Commanding Presence, Noble Blood, Savant (Politics)</t>
        </is>
      </c>
      <c r="I65" t="inlineStr">
        <is>
          <t>Best Quality Courtly Clothes, Herald, Staff of Diplomats</t>
        </is>
      </c>
      <c r="J65" t="inlineStr">
        <is>
          <t>|Art (Writing)|Athletics|Charm|Dodge|Drive|Endurance|Haggle|Lore (Heraldry)|Lore (Politics)|Ride (Horse)|Bribery|Cool|Entertain (Storytelling)|Gossip|Intuition|Language (any)|Consume Alcohol|Intimidate|Leadership|Lore (any)|Secret Signs (any)|</t>
        </is>
      </c>
      <c r="K65" t="inlineStr">
        <is>
          <t>|Blather|Etiquette (Nobles)|Read/Write|Suave|Etiquette (any)|Gregarious|Linguistics|Seasoned Traveller|Carouser|Cat-tongued|Dealmaker|Schemer|Briber|Commanding Presence|Noble Blood|Savant (Politics)|</t>
        </is>
      </c>
      <c r="L65" t="inlineStr">
        <is>
          <t>An articulate emissary, you travel far and wide to negotiate favourable pacts and treaties.</t>
        </is>
      </c>
      <c r="M65" t="inlineStr">
        <is>
          <t>Charm</t>
        </is>
      </c>
      <c r="N65" t="inlineStr">
        <is>
          <t>Dwarf, Halfling, High Elf, Human, Wood Elf</t>
        </is>
      </c>
      <c r="O65" t="n">
        <v>60</v>
      </c>
      <c r="S65" t="n">
        <v>1</v>
      </c>
      <c r="T65" t="n">
        <v>2</v>
      </c>
      <c r="V65" t="n">
        <v>4</v>
      </c>
      <c r="W65" t="n">
        <v>1</v>
      </c>
      <c r="X65" t="n">
        <v>3</v>
      </c>
      <c r="Y65" t="n">
        <v>1</v>
      </c>
    </row>
    <row r="66">
      <c r="A66" t="inlineStr">
        <is>
          <t>Fence|1</t>
        </is>
      </c>
      <c r="B66" t="inlineStr">
        <is>
          <t>Fence</t>
        </is>
      </c>
      <c r="C66" t="n">
        <v>1</v>
      </c>
      <c r="D66" t="inlineStr">
        <is>
          <t>Rogue</t>
        </is>
      </c>
      <c r="E66" t="inlineStr">
        <is>
          <t>Broker</t>
        </is>
      </c>
      <c r="F66" t="inlineStr">
        <is>
          <t>Brass 5</t>
        </is>
      </c>
      <c r="G66" t="inlineStr">
        <is>
          <t>Bribery, Charm, Consume Alcohol, Evaluate, Gamble, Gossip, Haggle, Lore (Local), Melee (Basic), Stealth (Urban)</t>
        </is>
      </c>
      <c r="H66" t="inlineStr">
        <is>
          <t>Cardsharp, Criminal, Gregarious, Numismatics</t>
        </is>
      </c>
      <c r="I66" t="inlineStr">
        <is>
          <t>Hand Weapon, Stolen Goods worth 1d10 Shillings</t>
        </is>
      </c>
      <c r="J66" t="inlineStr">
        <is>
          <t>|Bribery|Charm|Consume Alcohol|Evaluate|Gamble|Gossip|Haggle|Lore (Local)|Melee (Basic)|Stealth (Urban)|</t>
        </is>
      </c>
      <c r="K66" t="inlineStr">
        <is>
          <t>|Cardsharp|Criminal|Gregarious|Numismatics|</t>
        </is>
      </c>
      <c r="L66" t="inlineStr">
        <is>
          <t>A shrewd assessor of valuables, you will buy anything, legal or otherwise, and turn it around for a tidy profit.</t>
        </is>
      </c>
      <c r="M66" t="inlineStr">
        <is>
          <t>Evaluate</t>
        </is>
      </c>
      <c r="N66" t="inlineStr">
        <is>
          <t>Dwarf, Halfling, High Elf, Human</t>
        </is>
      </c>
      <c r="O66" t="n">
        <v>61</v>
      </c>
      <c r="P66" t="n">
        <v>4</v>
      </c>
      <c r="T66" t="n">
        <v>1</v>
      </c>
      <c r="V66" t="n">
        <v>2</v>
      </c>
      <c r="W66" t="n">
        <v>1</v>
      </c>
      <c r="X66" t="n">
        <v>3</v>
      </c>
      <c r="Y66" t="n">
        <v>1</v>
      </c>
    </row>
    <row r="67">
      <c r="A67" t="inlineStr">
        <is>
          <t>Fence|2</t>
        </is>
      </c>
      <c r="B67" t="inlineStr">
        <is>
          <t>Fence</t>
        </is>
      </c>
      <c r="C67" t="n">
        <v>2</v>
      </c>
      <c r="D67" t="inlineStr">
        <is>
          <t>Rogue</t>
        </is>
      </c>
      <c r="E67" t="inlineStr">
        <is>
          <t>Fence</t>
        </is>
      </c>
      <c r="F67" t="inlineStr">
        <is>
          <t>Silver 1</t>
        </is>
      </c>
      <c r="G67" t="inlineStr">
        <is>
          <t>Cool, Intuition, Language (Thieves Tongue), Lore (Heraldry), Secret Signs (Thief), Trade (Engraver)</t>
        </is>
      </c>
      <c r="H67" t="inlineStr">
        <is>
          <t>Briber, Dealmaker, Etiquette (Criminals), Read/Write</t>
        </is>
      </c>
      <c r="I67" t="inlineStr">
        <is>
          <t>Eyeglass, Trade Tools (Engraver), Writing Kit</t>
        </is>
      </c>
      <c r="J67" t="inlineStr">
        <is>
          <t>|Bribery|Charm|Consume Alcohol|Evaluate|Gamble|Gossip|Haggle|Lore (Local)|Melee (Basic)|Stealth (Urban)|Cool|Intuition|Language (Thieves Tongue)|Lore (Heraldry)|Secret Signs (Thief)|Trade (Engraver)|</t>
        </is>
      </c>
      <c r="K67" t="inlineStr">
        <is>
          <t>|Cardsharp|Criminal|Gregarious|Numismatics|Briber|Dealmaker|Etiquette (Criminals)|Read/Write|</t>
        </is>
      </c>
      <c r="L67" t="inlineStr">
        <is>
          <t>A shrewd assessor of valuables, you will buy anything, legal or otherwise, and turn it around for a tidy profit.</t>
        </is>
      </c>
      <c r="M67" t="inlineStr">
        <is>
          <t>Evaluate</t>
        </is>
      </c>
      <c r="N67" t="inlineStr">
        <is>
          <t>Dwarf, Halfling, High Elf, Human</t>
        </is>
      </c>
      <c r="O67" t="n">
        <v>61</v>
      </c>
      <c r="P67" t="n">
        <v>4</v>
      </c>
      <c r="T67" t="n">
        <v>1</v>
      </c>
      <c r="V67" t="n">
        <v>2</v>
      </c>
      <c r="W67" t="n">
        <v>1</v>
      </c>
      <c r="X67" t="n">
        <v>3</v>
      </c>
      <c r="Y67" t="n">
        <v>1</v>
      </c>
    </row>
    <row r="68">
      <c r="A68" t="inlineStr">
        <is>
          <t>Fence|3</t>
        </is>
      </c>
      <c r="B68" t="inlineStr">
        <is>
          <t>Fence</t>
        </is>
      </c>
      <c r="C68" t="n">
        <v>3</v>
      </c>
      <c r="D68" t="inlineStr">
        <is>
          <t>Rogue</t>
        </is>
      </c>
      <c r="E68" t="inlineStr">
        <is>
          <t>Trafficker</t>
        </is>
      </c>
      <c r="F68" t="inlineStr">
        <is>
          <t>Silver 3</t>
        </is>
      </c>
      <c r="G68" t="inlineStr">
        <is>
          <t>Drive, Entertain (Storytelling), Lore (Art), Research</t>
        </is>
      </c>
      <c r="H68" t="inlineStr">
        <is>
          <t>Cat-tongued, Etiquette (Any One), Kingpin, Suave</t>
        </is>
      </c>
      <c r="I68" t="inlineStr">
        <is>
          <t>Horse and Cart, Pawnbroker's Shop</t>
        </is>
      </c>
      <c r="J68" t="inlineStr">
        <is>
          <t>|Bribery|Charm|Consume Alcohol|Evaluate|Gamble|Gossip|Haggle|Lore (Local)|Melee (Basic)|Stealth (Urban)|Cool|Intuition|Language (Thieves Tongue)|Lore (Heraldry)|Secret Signs (Thief)|Trade (Engraver)|Drive|Entertain (Storytelling)|Lore (Art)|Research|</t>
        </is>
      </c>
      <c r="K68" t="inlineStr">
        <is>
          <t>|Cardsharp|Criminal|Gregarious|Numismatics|Briber|Dealmaker|Etiquette (Criminals)|Read/Write|Cat-tongued|Etiquette (any)|Kingpin|Suave|</t>
        </is>
      </c>
      <c r="L68" t="inlineStr">
        <is>
          <t>A shrewd assessor of valuables, you will buy anything, legal or otherwise, and turn it around for a tidy profit.</t>
        </is>
      </c>
      <c r="M68" t="inlineStr">
        <is>
          <t>Evaluate</t>
        </is>
      </c>
      <c r="N68" t="inlineStr">
        <is>
          <t>Dwarf, Halfling, High Elf, Human</t>
        </is>
      </c>
      <c r="O68" t="n">
        <v>61</v>
      </c>
      <c r="P68" t="n">
        <v>4</v>
      </c>
      <c r="T68" t="n">
        <v>1</v>
      </c>
      <c r="V68" t="n">
        <v>2</v>
      </c>
      <c r="W68" t="n">
        <v>1</v>
      </c>
      <c r="X68" t="n">
        <v>3</v>
      </c>
      <c r="Y68" t="n">
        <v>1</v>
      </c>
    </row>
    <row r="69">
      <c r="A69" t="inlineStr">
        <is>
          <t>Fence|4</t>
        </is>
      </c>
      <c r="B69" t="inlineStr">
        <is>
          <t>Fence</t>
        </is>
      </c>
      <c r="C69" t="n">
        <v>4</v>
      </c>
      <c r="D69" t="inlineStr">
        <is>
          <t>Rogue</t>
        </is>
      </c>
      <c r="E69" t="inlineStr">
        <is>
          <t>Black Marketeer</t>
        </is>
      </c>
      <c r="F69" t="inlineStr">
        <is>
          <t>Gold 1</t>
        </is>
      </c>
      <c r="G69" t="inlineStr">
        <is>
          <t>Intimidate, Leadership</t>
        </is>
      </c>
      <c r="H69" t="inlineStr">
        <is>
          <t>Iron Will, Menacing, Savvy, Super Numerate</t>
        </is>
      </c>
      <c r="I69" t="inlineStr">
        <is>
          <t>Gang of Racketeers, Network of Informers, Warehouse</t>
        </is>
      </c>
      <c r="J69" t="inlineStr">
        <is>
          <t>|Bribery|Charm|Consume Alcohol|Evaluate|Gamble|Gossip|Haggle|Lore (Local)|Melee (Basic)|Stealth (Urban)|Cool|Intuition|Language (Thieves Tongue)|Lore (Heraldry)|Secret Signs (Thief)|Trade (Engraver)|Drive|Entertain (Storytelling)|Lore (Art)|Research|Intimidate|Leadership|</t>
        </is>
      </c>
      <c r="K69" t="inlineStr">
        <is>
          <t>|Cardsharp|Criminal|Gregarious|Numismatics|Briber|Dealmaker|Etiquette (Criminals)|Read/Write|Cat-tongued|Etiquette (any)|Kingpin|Suave|Iron Will|Menacing|Savvy|Super Numerate|</t>
        </is>
      </c>
      <c r="L69" t="inlineStr">
        <is>
          <t>A shrewd assessor of valuables, you will buy anything, legal or otherwise, and turn it around for a tidy profit.</t>
        </is>
      </c>
      <c r="M69" t="inlineStr">
        <is>
          <t>Evaluate</t>
        </is>
      </c>
      <c r="N69" t="inlineStr">
        <is>
          <t>Dwarf, Halfling, High Elf, Human</t>
        </is>
      </c>
      <c r="O69" t="n">
        <v>61</v>
      </c>
      <c r="P69" t="n">
        <v>4</v>
      </c>
      <c r="T69" t="n">
        <v>1</v>
      </c>
      <c r="V69" t="n">
        <v>2</v>
      </c>
      <c r="W69" t="n">
        <v>1</v>
      </c>
      <c r="X69" t="n">
        <v>3</v>
      </c>
      <c r="Y69" t="n">
        <v>1</v>
      </c>
    </row>
    <row r="70">
      <c r="A70" t="inlineStr">
        <is>
          <t>Flagellant|1</t>
        </is>
      </c>
      <c r="B70" t="inlineStr">
        <is>
          <t>Flagellant</t>
        </is>
      </c>
      <c r="C70" t="n">
        <v>1</v>
      </c>
      <c r="D70" t="inlineStr">
        <is>
          <t>Ranger</t>
        </is>
      </c>
      <c r="E70" t="inlineStr">
        <is>
          <t>Penitent</t>
        </is>
      </c>
      <c r="F70" t="inlineStr">
        <is>
          <t>Brass 0</t>
        </is>
      </c>
      <c r="G70" t="inlineStr">
        <is>
          <t>Athletics, Cool, Dodge, Endurance, Heal, Intimidate, Intuition, Lore (Sigmar), Melee (Flail), Outdoor Survival</t>
        </is>
      </c>
      <c r="H70" t="inlineStr">
        <is>
          <t>Berserk Charge, Flagellant, Frenzy, Stone Soup</t>
        </is>
      </c>
      <c r="I70" t="inlineStr">
        <is>
          <t>Flail, Tattered Robes</t>
        </is>
      </c>
      <c r="J70" t="inlineStr">
        <is>
          <t>|Athletics|Cool|Dodge|Endurance|Heal|Intimidate|Intuition|Lore (Sigmar)|Melee (Flail)|Outdoor Survival|</t>
        </is>
      </c>
      <c r="K70" t="inlineStr">
        <is>
          <t>|Berserk Charge|Flagellant|Frenzy|Stone Soup|</t>
        </is>
      </c>
      <c r="L70" t="inlineStr">
        <is>
          <t>Just when you abandoned all hope, your suffering and the righteousness of your god saved you!</t>
        </is>
      </c>
      <c r="M70" t="inlineStr">
        <is>
          <t>Melee (Flail)</t>
        </is>
      </c>
      <c r="N70" t="inlineStr">
        <is>
          <t>Human</t>
        </is>
      </c>
      <c r="O70" t="n">
        <v>62</v>
      </c>
      <c r="P70" t="n">
        <v>1</v>
      </c>
      <c r="R70" t="n">
        <v>2</v>
      </c>
      <c r="S70" t="n">
        <v>1</v>
      </c>
      <c r="U70" t="n">
        <v>3</v>
      </c>
      <c r="X70" t="n">
        <v>1</v>
      </c>
      <c r="Y70" t="n">
        <v>4</v>
      </c>
    </row>
    <row r="71">
      <c r="A71" t="inlineStr">
        <is>
          <t>Flagellant|2</t>
        </is>
      </c>
      <c r="B71" t="inlineStr">
        <is>
          <t>Flagellant</t>
        </is>
      </c>
      <c r="C71" t="n">
        <v>2</v>
      </c>
      <c r="D71" t="inlineStr">
        <is>
          <t>Ranger</t>
        </is>
      </c>
      <c r="E71" t="inlineStr">
        <is>
          <t>Flagellant</t>
        </is>
      </c>
      <c r="F71" t="inlineStr">
        <is>
          <t>Brass 0</t>
        </is>
      </c>
      <c r="G71" t="inlineStr">
        <is>
          <t>Art (Icons), Language (Classical), Lore (The Empire), Melee (Basic), Melee (Two-handed), Ranged (Sling)</t>
        </is>
      </c>
      <c r="H71" t="inlineStr">
        <is>
          <t>Dual Wielder, Fearless (Everything), Hardy, Hatred (Heretics)</t>
        </is>
      </c>
      <c r="I71" t="inlineStr">
        <is>
          <t>Great Weapon (Military Flail), Religious Symbol</t>
        </is>
      </c>
      <c r="J71" t="inlineStr">
        <is>
          <t>|Athletics|Cool|Dodge|Endurance|Heal|Intimidate|Intuition|Lore (Sigmar)|Melee (Flail)|Outdoor Survival|Art (Icons)|Language (Classical)|Lore (The Empire)|Melee (Basic)|Melee (Two-handed)|Ranged (Sling)|</t>
        </is>
      </c>
      <c r="K71" t="inlineStr">
        <is>
          <t>|Berserk Charge|Flagellant|Frenzy|Stone Soup|Dual Wielder|Fearless (Everything)|Hardy|Hatred (Heretics)|</t>
        </is>
      </c>
      <c r="L71" t="inlineStr">
        <is>
          <t>Just when you abandoned all hope, your suffering and the righteousness of your god saved you!</t>
        </is>
      </c>
      <c r="M71" t="inlineStr">
        <is>
          <t>Melee (Flail)</t>
        </is>
      </c>
      <c r="N71" t="inlineStr">
        <is>
          <t>Human</t>
        </is>
      </c>
      <c r="O71" t="n">
        <v>62</v>
      </c>
      <c r="P71" t="n">
        <v>1</v>
      </c>
      <c r="R71" t="n">
        <v>2</v>
      </c>
      <c r="S71" t="n">
        <v>1</v>
      </c>
      <c r="U71" t="n">
        <v>3</v>
      </c>
      <c r="X71" t="n">
        <v>1</v>
      </c>
      <c r="Y71" t="n">
        <v>4</v>
      </c>
    </row>
    <row r="72">
      <c r="A72" t="inlineStr">
        <is>
          <t>Flagellant|3</t>
        </is>
      </c>
      <c r="B72" t="inlineStr">
        <is>
          <t>Flagellant</t>
        </is>
      </c>
      <c r="C72" t="n">
        <v>3</v>
      </c>
      <c r="D72" t="inlineStr">
        <is>
          <t>Ranger</t>
        </is>
      </c>
      <c r="E72" t="inlineStr">
        <is>
          <t>Zealot</t>
        </is>
      </c>
      <c r="F72" t="inlineStr">
        <is>
          <t>Brass 0</t>
        </is>
      </c>
      <c r="G72" t="inlineStr">
        <is>
          <t>Charm, Language (Any One), Lore (Theology), Perception</t>
        </is>
      </c>
      <c r="H72" t="inlineStr">
        <is>
          <t>Furious Assault, Implacable, Menacing, Seasoned Traveller</t>
        </is>
      </c>
      <c r="I72" t="inlineStr">
        <is>
          <t>Religious Relic</t>
        </is>
      </c>
      <c r="J72" t="inlineStr">
        <is>
          <t>|Athletics|Cool|Dodge|Endurance|Heal|Intimidate|Intuition|Lore (Sigmar)|Melee (Flail)|Outdoor Survival|Art (Icons)|Language (Classical)|Lore (The Empire)|Melee (Basic)|Melee (Two-handed)|Ranged (Sling)|Charm|Language (any)|Lore (Theology)|Perception|</t>
        </is>
      </c>
      <c r="K72" t="inlineStr">
        <is>
          <t>|Berserk Charge|Flagellant|Frenzy|Stone Soup|Dual Wielder|Fearless (Everything)|Hardy|Hatred (Heretics)|Furious Assault|Implacable|Menacing|Seasoned Traveller|</t>
        </is>
      </c>
      <c r="L72" t="inlineStr">
        <is>
          <t>Just when you abandoned all hope, your suffering and the righteousness of your god saved you!</t>
        </is>
      </c>
      <c r="M72" t="inlineStr">
        <is>
          <t>Melee (Flail)</t>
        </is>
      </c>
      <c r="N72" t="inlineStr">
        <is>
          <t>Human</t>
        </is>
      </c>
      <c r="O72" t="n">
        <v>62</v>
      </c>
      <c r="P72" t="n">
        <v>1</v>
      </c>
      <c r="R72" t="n">
        <v>2</v>
      </c>
      <c r="S72" t="n">
        <v>1</v>
      </c>
      <c r="U72" t="n">
        <v>3</v>
      </c>
      <c r="X72" t="n">
        <v>1</v>
      </c>
      <c r="Y72" t="n">
        <v>4</v>
      </c>
    </row>
    <row r="73">
      <c r="A73" t="inlineStr">
        <is>
          <t>Flagellant|4</t>
        </is>
      </c>
      <c r="B73" t="inlineStr">
        <is>
          <t>Flagellant</t>
        </is>
      </c>
      <c r="C73" t="n">
        <v>4</v>
      </c>
      <c r="D73" t="inlineStr">
        <is>
          <t>Ranger</t>
        </is>
      </c>
      <c r="E73" t="inlineStr">
        <is>
          <t>Prophet of Doom</t>
        </is>
      </c>
      <c r="F73" t="inlineStr">
        <is>
          <t>Brass 0</t>
        </is>
      </c>
      <c r="G73" t="inlineStr">
        <is>
          <t>Entertain (Speeches), Leadership</t>
        </is>
      </c>
      <c r="H73" t="inlineStr">
        <is>
          <t>Battle Rage, Frightening, Impassioned Zeal, Jump Up</t>
        </is>
      </c>
      <c r="I73" t="inlineStr">
        <is>
          <t>Book (Religion), Followers (including Penitents, Flagellants, and Zealots)</t>
        </is>
      </c>
      <c r="J73" t="inlineStr">
        <is>
          <t>|Athletics|Cool|Dodge|Endurance|Heal|Intimidate|Intuition|Lore (Sigmar)|Melee (Flail)|Outdoor Survival|Art (Icons)|Language (Classical)|Lore (The Empire)|Melee (Basic)|Melee (Two-handed)|Ranged (Sling)|Charm|Language (any)|Lore (Theology)|Perception|Entertain (Speeches)|Leadership|</t>
        </is>
      </c>
      <c r="K73" t="inlineStr">
        <is>
          <t>|Berserk Charge|Flagellant|Frenzy|Stone Soup|Dual Wielder|Fearless (Everything)|Hardy|Hatred (Heretics)|Furious Assault|Implacable|Menacing|Seasoned Traveller|Battle Rage|Frightening|Impassioned Zeal|Jump Up|</t>
        </is>
      </c>
      <c r="L73" t="inlineStr">
        <is>
          <t>Just when you abandoned all hope, your suffering and the righteousness of your god saved you!</t>
        </is>
      </c>
      <c r="M73" t="inlineStr">
        <is>
          <t>Melee (Flail)</t>
        </is>
      </c>
      <c r="N73" t="inlineStr">
        <is>
          <t>Human</t>
        </is>
      </c>
      <c r="O73" t="n">
        <v>62</v>
      </c>
      <c r="P73" t="n">
        <v>1</v>
      </c>
      <c r="R73" t="n">
        <v>2</v>
      </c>
      <c r="S73" t="n">
        <v>1</v>
      </c>
      <c r="U73" t="n">
        <v>3</v>
      </c>
      <c r="X73" t="n">
        <v>1</v>
      </c>
      <c r="Y73" t="n">
        <v>4</v>
      </c>
    </row>
    <row r="74">
      <c r="A74" t="inlineStr">
        <is>
          <t>Grave Robber|1</t>
        </is>
      </c>
      <c r="B74" t="inlineStr">
        <is>
          <t>Grave Robber</t>
        </is>
      </c>
      <c r="C74" t="n">
        <v>1</v>
      </c>
      <c r="D74" t="inlineStr">
        <is>
          <t>Rogue</t>
        </is>
      </c>
      <c r="E74" t="inlineStr">
        <is>
          <t>Penny Thief</t>
        </is>
      </c>
      <c r="F74" t="inlineStr">
        <is>
          <t>Brass 2</t>
        </is>
      </c>
      <c r="G74" t="inlineStr">
        <is>
          <t>Athletics, Climb, Consume Alcohol, Cool, Dodge, Endurance, Gossip, Melee (Basic), Perception, Stealth (Any One)</t>
        </is>
      </c>
      <c r="H74" t="inlineStr">
        <is>
          <t>Alley Cat, Criminal, Flee!, Strong Back</t>
        </is>
      </c>
      <c r="I74" t="inlineStr">
        <is>
          <t>Crowbar, Hooded Cloak, Sack, Shovel</t>
        </is>
      </c>
      <c r="J74" t="inlineStr">
        <is>
          <t>|Athletics|Climb|Consume Alcohol|Cool|Dodge|Endurance|Gossip|Melee (Basic)|Perception|Stealth (any)|</t>
        </is>
      </c>
      <c r="K74" t="inlineStr">
        <is>
          <t>|Alley Cat|Criminal|Flee!|Strong Back|</t>
        </is>
      </c>
      <c r="L74" t="inlineStr">
        <is>
          <t>You steal from the deceased to line your own pockets, always hoping the dead stay that way.</t>
        </is>
      </c>
      <c r="M74" t="inlineStr">
        <is>
          <t>Stealth (Any One)</t>
        </is>
      </c>
      <c r="N74" t="inlineStr">
        <is>
          <t>Halfling, Human</t>
        </is>
      </c>
      <c r="O74" t="n">
        <v>63</v>
      </c>
      <c r="P74" t="n">
        <v>4</v>
      </c>
      <c r="R74" t="n">
        <v>1</v>
      </c>
      <c r="T74" t="n">
        <v>1</v>
      </c>
      <c r="U74" t="n">
        <v>1</v>
      </c>
      <c r="V74" t="n">
        <v>2</v>
      </c>
      <c r="X74" t="n">
        <v>3</v>
      </c>
    </row>
    <row r="75">
      <c r="A75" t="inlineStr">
        <is>
          <t>Grave Robber|2</t>
        </is>
      </c>
      <c r="B75" t="inlineStr">
        <is>
          <t>Grave Robber</t>
        </is>
      </c>
      <c r="C75" t="n">
        <v>2</v>
      </c>
      <c r="D75" t="inlineStr">
        <is>
          <t>Rogue</t>
        </is>
      </c>
      <c r="E75" t="inlineStr">
        <is>
          <t>Grave Robber</t>
        </is>
      </c>
      <c r="F75" t="inlineStr">
        <is>
          <t>Brass 4</t>
        </is>
      </c>
      <c r="G75" t="inlineStr">
        <is>
          <t>Bribery, Drive, Evaluate, Haggle, Pick Lock, Set Trap</t>
        </is>
      </c>
      <c r="H75" t="inlineStr">
        <is>
          <t>Break and Enter, Etiquette (Criminals), Night Vision, Resistant (Disease)</t>
        </is>
      </c>
      <c r="I75" t="inlineStr">
        <is>
          <t>Backpack, Handcart, Hand Weapon, Storm Lantern and Oil, Tarpaulin, Trade Tools (Thief)</t>
        </is>
      </c>
      <c r="J75" t="inlineStr">
        <is>
          <t>|Athletics|Climb|Consume Alcohol|Cool|Dodge|Endurance|Gossip|Melee (Basic)|Perception|Stealth (any)|Bribery|Drive|Evaluate|Haggle|Pick Lock|Set Trap|</t>
        </is>
      </c>
      <c r="K75" t="inlineStr">
        <is>
          <t>|Alley Cat|Criminal|Flee!|Strong Back|Break and Enter|Etiquette (Criminals)|Night Vision|Resistant (Disease)|</t>
        </is>
      </c>
      <c r="L75" t="inlineStr">
        <is>
          <t>You steal from the deceased to line your own pockets, always hoping the dead stay that way.</t>
        </is>
      </c>
      <c r="M75" t="inlineStr">
        <is>
          <t>Stealth (Any One)</t>
        </is>
      </c>
      <c r="N75" t="inlineStr">
        <is>
          <t>Halfling, Human</t>
        </is>
      </c>
      <c r="O75" t="n">
        <v>63</v>
      </c>
      <c r="P75" t="n">
        <v>4</v>
      </c>
      <c r="R75" t="n">
        <v>1</v>
      </c>
      <c r="T75" t="n">
        <v>1</v>
      </c>
      <c r="U75" t="n">
        <v>1</v>
      </c>
      <c r="V75" t="n">
        <v>2</v>
      </c>
      <c r="X75" t="n">
        <v>3</v>
      </c>
    </row>
    <row r="76">
      <c r="A76" t="inlineStr">
        <is>
          <t>Grave Robber|3</t>
        </is>
      </c>
      <c r="B76" t="inlineStr">
        <is>
          <t>Grave Robber</t>
        </is>
      </c>
      <c r="C76" t="n">
        <v>3</v>
      </c>
      <c r="D76" t="inlineStr">
        <is>
          <t>Rogue</t>
        </is>
      </c>
      <c r="E76" t="inlineStr">
        <is>
          <t>Tomb Robber</t>
        </is>
      </c>
      <c r="F76" t="inlineStr">
        <is>
          <t>Silver 3</t>
        </is>
      </c>
      <c r="G76" t="inlineStr">
        <is>
          <t>Animal Care, Lore (History), Outdoor Survival, Research</t>
        </is>
      </c>
      <c r="H76" t="inlineStr">
        <is>
          <t>Read/Write, Strike Mighty Blow, Trapper, Tenacious</t>
        </is>
      </c>
      <c r="I76" t="inlineStr">
        <is>
          <t>Horse and Cart, Leather Jack, Pick, Rope</t>
        </is>
      </c>
      <c r="J76" t="inlineStr">
        <is>
          <t>|Athletics|Climb|Consume Alcohol|Cool|Dodge|Endurance|Gossip|Melee (Basic)|Perception|Stealth (any)|Bribery|Drive|Evaluate|Haggle|Pick Lock|Set Trap|Animal Care|Lore (History)|Outdoor Survival|Research|</t>
        </is>
      </c>
      <c r="K76" t="inlineStr">
        <is>
          <t>|Alley Cat|Criminal|Flee!|Strong Back|Break and Enter|Etiquette (Criminals)|Night Vision|Resistant (Disease)|Read/Write|Strike Mighty Blow|Trapper|Tenacious|</t>
        </is>
      </c>
      <c r="L76" t="inlineStr">
        <is>
          <t>You steal from the deceased to line your own pockets, always hoping the dead stay that way.</t>
        </is>
      </c>
      <c r="M76" t="inlineStr">
        <is>
          <t>Stealth (Any One)</t>
        </is>
      </c>
      <c r="N76" t="inlineStr">
        <is>
          <t>Halfling, Human</t>
        </is>
      </c>
      <c r="O76" t="n">
        <v>63</v>
      </c>
      <c r="P76" t="n">
        <v>4</v>
      </c>
      <c r="R76" t="n">
        <v>1</v>
      </c>
      <c r="T76" t="n">
        <v>1</v>
      </c>
      <c r="U76" t="n">
        <v>1</v>
      </c>
      <c r="V76" t="n">
        <v>2</v>
      </c>
      <c r="X76" t="n">
        <v>3</v>
      </c>
    </row>
    <row r="77">
      <c r="A77" t="inlineStr">
        <is>
          <t>Grave Robber|4</t>
        </is>
      </c>
      <c r="B77" t="inlineStr">
        <is>
          <t>Grave Robber</t>
        </is>
      </c>
      <c r="C77" t="n">
        <v>4</v>
      </c>
      <c r="D77" t="inlineStr">
        <is>
          <t>Rogue</t>
        </is>
      </c>
      <c r="E77" t="inlineStr">
        <is>
          <t>Treasure Hunter</t>
        </is>
      </c>
      <c r="F77" t="inlineStr">
        <is>
          <t>Silver 5</t>
        </is>
      </c>
      <c r="G77" t="inlineStr">
        <is>
          <t>Navigation, Trade (Engineer)</t>
        </is>
      </c>
      <c r="H77" t="inlineStr">
        <is>
          <t>Fearless (Undead), Sixth Sense, Strong-minded, Wealthy</t>
        </is>
      </c>
      <c r="I77" t="inlineStr">
        <is>
          <t>Bedroll, Maps, Tent, Trade Tools (Engineer), Writing Kit</t>
        </is>
      </c>
      <c r="J77" t="inlineStr">
        <is>
          <t>|Athletics|Climb|Consume Alcohol|Cool|Dodge|Endurance|Gossip|Melee (Basic)|Perception|Stealth (any)|Bribery|Drive|Evaluate|Haggle|Pick Lock|Set Trap|Animal Care|Lore (History)|Outdoor Survival|Research|Navigation|Trade (Engineer)|</t>
        </is>
      </c>
      <c r="K77" t="inlineStr">
        <is>
          <t>|Alley Cat|Criminal|Flee!|Strong Back|Break and Enter|Etiquette (Criminals)|Night Vision|Resistant (Disease)|Read/Write|Strike Mighty Blow|Trapper|Tenacious|Fearless (Undead)|Sixth Sense|Strong-minded|Wealthy|</t>
        </is>
      </c>
      <c r="L77" t="inlineStr">
        <is>
          <t>You steal from the deceased to line your own pockets, always hoping the dead stay that way.</t>
        </is>
      </c>
      <c r="M77" t="inlineStr">
        <is>
          <t>Stealth (Any One)</t>
        </is>
      </c>
      <c r="N77" t="inlineStr">
        <is>
          <t>Halfling, Human</t>
        </is>
      </c>
      <c r="O77" t="n">
        <v>63</v>
      </c>
      <c r="P77" t="n">
        <v>4</v>
      </c>
      <c r="R77" t="n">
        <v>1</v>
      </c>
      <c r="T77" t="n">
        <v>1</v>
      </c>
      <c r="U77" t="n">
        <v>1</v>
      </c>
      <c r="V77" t="n">
        <v>2</v>
      </c>
      <c r="X77" t="n">
        <v>3</v>
      </c>
    </row>
    <row r="78">
      <c r="A78" t="inlineStr">
        <is>
          <t>Guard|1</t>
        </is>
      </c>
      <c r="B78" t="inlineStr">
        <is>
          <t>Guard</t>
        </is>
      </c>
      <c r="C78" t="n">
        <v>1</v>
      </c>
      <c r="D78" t="inlineStr">
        <is>
          <t>Warrior</t>
        </is>
      </c>
      <c r="E78" t="inlineStr">
        <is>
          <t>Sentry</t>
        </is>
      </c>
      <c r="F78" t="inlineStr">
        <is>
          <t>Brass 5</t>
        </is>
      </c>
      <c r="G78" t="inlineStr">
        <is>
          <t>Consume Alcohol, Cool, Entertain (Storytelling), Gamble, Gossip, Intimidate, Intuition, Melee (Basic), Melee (Brawling), Perception</t>
        </is>
      </c>
      <c r="H78" t="inlineStr">
        <is>
          <t>Dicer, Etiquette (Servants), Robust, Strike to Stun</t>
        </is>
      </c>
      <c r="I78" t="inlineStr">
        <is>
          <t>Buckler, Leather Jerkin, Storm Lantern with Oil</t>
        </is>
      </c>
      <c r="J78" t="inlineStr">
        <is>
          <t>|Consume Alcohol|Cool|Entertain (Storytelling)|Gamble|Gossip|Intimidate|Intuition|Melee (Basic)|Melee (Brawling)|Perception|</t>
        </is>
      </c>
      <c r="K78" t="inlineStr">
        <is>
          <t>|Dicer|Etiquette (Servants)|Robust|Strike to Stun|</t>
        </is>
      </c>
      <c r="L78" t="inlineStr">
        <is>
          <t>Your job is simple: protect your charge and keep undesirables out.</t>
        </is>
      </c>
      <c r="M78" t="inlineStr">
        <is>
          <t>Perception</t>
        </is>
      </c>
      <c r="N78" t="inlineStr">
        <is>
          <t>Dwarf, Halfling, High Elf, Human, Wood Elf</t>
        </is>
      </c>
      <c r="O78" t="n">
        <v>64</v>
      </c>
      <c r="P78" t="n">
        <v>1</v>
      </c>
      <c r="R78" t="n">
        <v>1</v>
      </c>
      <c r="S78" t="n">
        <v>2</v>
      </c>
      <c r="T78" t="n">
        <v>1</v>
      </c>
      <c r="U78" t="n">
        <v>4</v>
      </c>
      <c r="X78" t="n">
        <v>3</v>
      </c>
    </row>
    <row r="79">
      <c r="A79" t="inlineStr">
        <is>
          <t>Guard|2</t>
        </is>
      </c>
      <c r="B79" t="inlineStr">
        <is>
          <t>Guard</t>
        </is>
      </c>
      <c r="C79" t="n">
        <v>2</v>
      </c>
      <c r="D79" t="inlineStr">
        <is>
          <t>Warrior</t>
        </is>
      </c>
      <c r="E79" t="inlineStr">
        <is>
          <t>Guard</t>
        </is>
      </c>
      <c r="F79" t="inlineStr">
        <is>
          <t>Silver 2</t>
        </is>
      </c>
      <c r="G79" t="inlineStr">
        <is>
          <t>Athletics, Dodge, Endurance, Heal, Melee (Polearm), Ranged (Bow)</t>
        </is>
      </c>
      <c r="H79" t="inlineStr">
        <is>
          <t>Drilled, Reversal, Shieldsman, Stout-hearted</t>
        </is>
      </c>
      <c r="I79" t="inlineStr">
        <is>
          <t>Bow with 10 Arrows, Sleeved Mail Shirt, Shield, Spear</t>
        </is>
      </c>
      <c r="J79" t="inlineStr">
        <is>
          <t>|Consume Alcohol|Cool|Entertain (Storytelling)|Gamble|Gossip|Intimidate|Intuition|Melee (Basic)|Melee (Brawling)|Perception|Athletics|Dodge|Endurance|Heal|Melee (Polearm)|Ranged (Bow)|</t>
        </is>
      </c>
      <c r="K79" t="inlineStr">
        <is>
          <t>|Dicer|Etiquette (Servants)|Robust|Strike to Stun|Drilled|Reversal|Shieldsman|Stout-hearted|</t>
        </is>
      </c>
      <c r="L79" t="inlineStr">
        <is>
          <t>Your job is simple: protect your charge and keep undesirables out.</t>
        </is>
      </c>
      <c r="M79" t="inlineStr">
        <is>
          <t>Perception</t>
        </is>
      </c>
      <c r="N79" t="inlineStr">
        <is>
          <t>Dwarf, Halfling, High Elf, Human, Wood Elf</t>
        </is>
      </c>
      <c r="O79" t="n">
        <v>64</v>
      </c>
      <c r="P79" t="n">
        <v>1</v>
      </c>
      <c r="R79" t="n">
        <v>1</v>
      </c>
      <c r="S79" t="n">
        <v>2</v>
      </c>
      <c r="T79" t="n">
        <v>1</v>
      </c>
      <c r="U79" t="n">
        <v>4</v>
      </c>
      <c r="X79" t="n">
        <v>3</v>
      </c>
    </row>
    <row r="80">
      <c r="A80" t="inlineStr">
        <is>
          <t>Guard|3</t>
        </is>
      </c>
      <c r="B80" t="inlineStr">
        <is>
          <t>Guard</t>
        </is>
      </c>
      <c r="C80" t="n">
        <v>3</v>
      </c>
      <c r="D80" t="inlineStr">
        <is>
          <t>Warrior</t>
        </is>
      </c>
      <c r="E80" t="inlineStr">
        <is>
          <t>Honour Guard</t>
        </is>
      </c>
      <c r="F80" t="inlineStr">
        <is>
          <t>Silver 4</t>
        </is>
      </c>
      <c r="G80" t="inlineStr">
        <is>
          <t>Language (Battle), Lore (Heraldry), Melee (Two-handed), Ride (Horse)</t>
        </is>
      </c>
      <c r="H80" t="inlineStr">
        <is>
          <t>Etiquette (Any One), Fearless (Intruders), Reaction Strike, Unshakeable</t>
        </is>
      </c>
      <c r="I80" t="inlineStr">
        <is>
          <t>Great Weapon or Halberd, Helmet, Uniform</t>
        </is>
      </c>
      <c r="J80" t="inlineStr">
        <is>
          <t>|Consume Alcohol|Cool|Entertain (Storytelling)|Gamble|Gossip|Intimidate|Intuition|Melee (Basic)|Melee (Brawling)|Perception|Athletics|Dodge|Endurance|Heal|Melee (Polearm)|Ranged (Bow)|Language (Battle)|Lore (Heraldry)|Melee (Two-handed)|Ride (Horse)|</t>
        </is>
      </c>
      <c r="K80" t="inlineStr">
        <is>
          <t>|Dicer|Etiquette (Servants)|Robust|Strike to Stun|Drilled|Reversal|Shieldsman|Stout-hearted|Etiquette (any)|Fearless (Intruders)|Reaction Strike|Unshakeable|</t>
        </is>
      </c>
      <c r="L80" t="inlineStr">
        <is>
          <t>Your job is simple: protect your charge and keep undesirables out.</t>
        </is>
      </c>
      <c r="M80" t="inlineStr">
        <is>
          <t>Perception</t>
        </is>
      </c>
      <c r="N80" t="inlineStr">
        <is>
          <t>Dwarf, Halfling, High Elf, Human, Wood Elf</t>
        </is>
      </c>
      <c r="O80" t="n">
        <v>64</v>
      </c>
      <c r="P80" t="n">
        <v>1</v>
      </c>
      <c r="R80" t="n">
        <v>1</v>
      </c>
      <c r="S80" t="n">
        <v>2</v>
      </c>
      <c r="T80" t="n">
        <v>1</v>
      </c>
      <c r="U80" t="n">
        <v>4</v>
      </c>
      <c r="X80" t="n">
        <v>3</v>
      </c>
    </row>
    <row r="81">
      <c r="A81" t="inlineStr">
        <is>
          <t>Guard|4</t>
        </is>
      </c>
      <c r="B81" t="inlineStr">
        <is>
          <t>Guard</t>
        </is>
      </c>
      <c r="C81" t="n">
        <v>4</v>
      </c>
      <c r="D81" t="inlineStr">
        <is>
          <t>Warrior</t>
        </is>
      </c>
      <c r="E81" t="inlineStr">
        <is>
          <t>Guard Officer</t>
        </is>
      </c>
      <c r="F81" t="inlineStr">
        <is>
          <t>Gold 1</t>
        </is>
      </c>
      <c r="G81" t="inlineStr">
        <is>
          <t>Leadership, Lore (Warfare)</t>
        </is>
      </c>
      <c r="H81" t="inlineStr">
        <is>
          <t>Combat Master, Furious Assault, Iron Will, Nose for Trouble</t>
        </is>
      </c>
      <c r="I81" t="inlineStr">
        <is>
          <t>Breastplate, Squad of Guards</t>
        </is>
      </c>
      <c r="J81" t="inlineStr">
        <is>
          <t>|Consume Alcohol|Cool|Entertain (Storytelling)|Gamble|Gossip|Intimidate|Intuition|Melee (Basic)|Melee (Brawling)|Perception|Athletics|Dodge|Endurance|Heal|Melee (Polearm)|Ranged (Bow)|Language (Battle)|Lore (Heraldry)|Melee (Two-handed)|Ride (Horse)|Leadership|Lore (Warfare)|</t>
        </is>
      </c>
      <c r="K81" t="inlineStr">
        <is>
          <t>|Dicer|Etiquette (Servants)|Robust|Strike to Stun|Drilled|Reversal|Shieldsman|Stout-hearted|Etiquette (any)|Fearless (Intruders)|Reaction Strike|Unshakeable|Combat Master|Furious Assault|Iron Will|Nose for Trouble|</t>
        </is>
      </c>
      <c r="L81" t="inlineStr">
        <is>
          <t>Your job is simple: protect your charge and keep undesirables out.</t>
        </is>
      </c>
      <c r="M81" t="inlineStr">
        <is>
          <t>Perception</t>
        </is>
      </c>
      <c r="N81" t="inlineStr">
        <is>
          <t>Dwarf, Halfling, High Elf, Human, Wood Elf</t>
        </is>
      </c>
      <c r="O81" t="n">
        <v>64</v>
      </c>
      <c r="P81" t="n">
        <v>1</v>
      </c>
      <c r="R81" t="n">
        <v>1</v>
      </c>
      <c r="S81" t="n">
        <v>2</v>
      </c>
      <c r="T81" t="n">
        <v>1</v>
      </c>
      <c r="U81" t="n">
        <v>4</v>
      </c>
      <c r="X81" t="n">
        <v>3</v>
      </c>
    </row>
    <row r="82">
      <c r="A82" t="inlineStr">
        <is>
          <t>Hedge Witch|1</t>
        </is>
      </c>
      <c r="B82" t="inlineStr">
        <is>
          <t>Hedge Witch</t>
        </is>
      </c>
      <c r="C82" t="n">
        <v>1</v>
      </c>
      <c r="D82" t="inlineStr">
        <is>
          <t>Peasant</t>
        </is>
      </c>
      <c r="E82" t="inlineStr">
        <is>
          <t>Hedge Apprentice</t>
        </is>
      </c>
      <c r="F82" t="inlineStr">
        <is>
          <t>Brass 1</t>
        </is>
      </c>
      <c r="G82" t="inlineStr">
        <is>
          <t>Channelling (Magick), Charm, Cool, Intuition, Language (Magick), Lore (Folklore), Lore (Herbs), Lore (Theology), Outdoor Survival, Trade (Herbalist)</t>
        </is>
      </c>
      <c r="H82" t="inlineStr">
        <is>
          <t>Craftsman (Herbalist), Petty Magic, Read/Write, Second Sight</t>
        </is>
      </c>
      <c r="I82" t="inlineStr">
        <is>
          <t>Amulet, Hand Weapon (Sickle), Quarterstaff</t>
        </is>
      </c>
      <c r="J82" t="inlineStr">
        <is>
          <t>|Channelling (Magick)|Charm|Cool|Intuition|Language (Magick)|Lore (Folklore)|Lore (Herbs)|Lore (Theology)|Outdoor Survival|Trade (Herbalist)|</t>
        </is>
      </c>
      <c r="K82" t="inlineStr">
        <is>
          <t>|Craftsman (Herbalist)|Petty Magic|Read/Write|Second Sight|</t>
        </is>
      </c>
      <c r="L82" t="inlineStr">
        <is>
          <t>Wise and secretive, you guide your community using ancient magic handed down through generations.</t>
        </is>
      </c>
      <c r="M82" t="inlineStr">
        <is>
          <t>Lore (Folklore)</t>
        </is>
      </c>
      <c r="N82" t="inlineStr">
        <is>
          <t>Human</t>
        </is>
      </c>
      <c r="O82" t="n">
        <v>65</v>
      </c>
      <c r="T82" t="n">
        <v>1</v>
      </c>
      <c r="U82" t="n">
        <v>4</v>
      </c>
      <c r="V82" t="n">
        <v>1</v>
      </c>
      <c r="W82" t="n">
        <v>1</v>
      </c>
      <c r="X82" t="n">
        <v>2</v>
      </c>
      <c r="Y82" t="n">
        <v>3</v>
      </c>
    </row>
    <row r="83">
      <c r="A83" t="inlineStr">
        <is>
          <t>Hedge Witch|2</t>
        </is>
      </c>
      <c r="B83" t="inlineStr">
        <is>
          <t>Hedge Witch</t>
        </is>
      </c>
      <c r="C83" t="n">
        <v>2</v>
      </c>
      <c r="D83" t="inlineStr">
        <is>
          <t>Peasant</t>
        </is>
      </c>
      <c r="E83" t="inlineStr">
        <is>
          <t>Hedge Witch</t>
        </is>
      </c>
      <c r="F83" t="inlineStr">
        <is>
          <t>Brass 4</t>
        </is>
      </c>
      <c r="G83" t="inlineStr">
        <is>
          <t>Heal, Lore (Local), Lore (Magic), Lore (Spirits), Pray, Secret Signs (Hedgefolk)</t>
        </is>
      </c>
      <c r="H83" t="inlineStr">
        <is>
          <t>Aethyric Attunement, Arcane Magic (Hedgecraft), Sixth Sense, Striding Gait (Any One)</t>
        </is>
      </c>
      <c r="I83" t="inlineStr">
        <is>
          <t>Healing Poultice, Trade Tools (Herbalist)</t>
        </is>
      </c>
      <c r="J83" t="inlineStr">
        <is>
          <t>|Channelling (Magick)|Charm|Cool|Intuition|Language (Magick)|Lore (Folklore)|Lore (Herbs)|Lore (Theology)|Outdoor Survival|Trade (Herbalist)|Heal|Lore (Local)|Lore (Magic)|Lore (Spirits)|Pray|Secret Signs (Hedgefolk)|</t>
        </is>
      </c>
      <c r="K83" t="inlineStr">
        <is>
          <t>|Craftsman (Herbalist)|Petty Magic|Read/Write|Second Sight|Aethyric Attunement|Arcane Magic (Hedgecraft)|Sixth Sense|Striding Gait (any)|</t>
        </is>
      </c>
      <c r="L83" t="inlineStr">
        <is>
          <t>Wise and secretive, you guide your community using ancient magic handed down through generations.</t>
        </is>
      </c>
      <c r="M83" t="inlineStr">
        <is>
          <t>Lore (Folklore)</t>
        </is>
      </c>
      <c r="N83" t="inlineStr">
        <is>
          <t>Human</t>
        </is>
      </c>
      <c r="O83" t="n">
        <v>65</v>
      </c>
      <c r="T83" t="n">
        <v>1</v>
      </c>
      <c r="U83" t="n">
        <v>4</v>
      </c>
      <c r="V83" t="n">
        <v>1</v>
      </c>
      <c r="W83" t="n">
        <v>1</v>
      </c>
      <c r="X83" t="n">
        <v>2</v>
      </c>
      <c r="Y83" t="n">
        <v>3</v>
      </c>
    </row>
    <row r="84">
      <c r="A84" t="inlineStr">
        <is>
          <t>Hedge Witch|3</t>
        </is>
      </c>
      <c r="B84" t="inlineStr">
        <is>
          <t>Hedge Witch</t>
        </is>
      </c>
      <c r="C84" t="n">
        <v>3</v>
      </c>
      <c r="D84" t="inlineStr">
        <is>
          <t>Peasant</t>
        </is>
      </c>
      <c r="E84" t="inlineStr">
        <is>
          <t>Hedge Master</t>
        </is>
      </c>
      <c r="F84" t="inlineStr">
        <is>
          <t>Brass 5</t>
        </is>
      </c>
      <c r="G84" t="inlineStr">
        <is>
          <t>Animal Care, Gossip, Leadership, Perception</t>
        </is>
      </c>
      <c r="H84" t="inlineStr">
        <is>
          <t>Instinctive Diction, Magical Sense, Master Tradesman (Herbalist), Savant (Folklore)</t>
        </is>
      </c>
      <c r="I84" t="inlineStr">
        <is>
          <t>Apprentice, Isolated Hut</t>
        </is>
      </c>
      <c r="J84" t="inlineStr">
        <is>
          <t>|Channelling (Magick)|Charm|Cool|Intuition|Language (Magick)|Lore (Folklore)|Lore (Herbs)|Lore (Theology)|Outdoor Survival|Trade (Herbalist)|Heal|Lore (Local)|Lore (Magic)|Lore (Spirits)|Pray|Secret Signs (Hedgefolk)|Animal Care|Gossip|Leadership|Perception|</t>
        </is>
      </c>
      <c r="K84" t="inlineStr">
        <is>
          <t>|Craftsman (Herbalist)|Petty Magic|Read/Write|Second Sight|Aethyric Attunement|Arcane Magic (Hedgecraft)|Sixth Sense|Striding Gait (any)|Instinctive Diction|Magical Sense|Master Tradesman (Herbalist)|Savant (Folklore)|</t>
        </is>
      </c>
      <c r="L84" t="inlineStr">
        <is>
          <t>Wise and secretive, you guide your community using ancient magic handed down through generations.</t>
        </is>
      </c>
      <c r="M84" t="inlineStr">
        <is>
          <t>Lore (Folklore)</t>
        </is>
      </c>
      <c r="N84" t="inlineStr">
        <is>
          <t>Human</t>
        </is>
      </c>
      <c r="O84" t="n">
        <v>65</v>
      </c>
      <c r="T84" t="n">
        <v>1</v>
      </c>
      <c r="U84" t="n">
        <v>4</v>
      </c>
      <c r="V84" t="n">
        <v>1</v>
      </c>
      <c r="W84" t="n">
        <v>1</v>
      </c>
      <c r="X84" t="n">
        <v>2</v>
      </c>
      <c r="Y84" t="n">
        <v>3</v>
      </c>
    </row>
    <row r="85">
      <c r="A85" t="inlineStr">
        <is>
          <t>Hedge Witch|4</t>
        </is>
      </c>
      <c r="B85" t="inlineStr">
        <is>
          <t>Hedge Witch</t>
        </is>
      </c>
      <c r="C85" t="n">
        <v>4</v>
      </c>
      <c r="D85" t="inlineStr">
        <is>
          <t>Peasant</t>
        </is>
      </c>
      <c r="E85" t="inlineStr">
        <is>
          <t>Hedgewise</t>
        </is>
      </c>
      <c r="F85" t="inlineStr">
        <is>
          <t>Silver 2</t>
        </is>
      </c>
      <c r="G85" t="inlineStr">
        <is>
          <t>Endurance, Lore (Genealogy)</t>
        </is>
      </c>
      <c r="H85" t="inlineStr">
        <is>
          <t>Acute Sense (Any One), Pure Soul, Resistant (Disease), Strong-minded</t>
        </is>
      </c>
      <c r="I85" t="inlineStr">
        <is>
          <t>Assortment of Animal Skulls, Ceremonial Cloak and Garland</t>
        </is>
      </c>
      <c r="J85" t="inlineStr">
        <is>
          <t>|Channelling (Magick)|Charm|Cool|Intuition|Language (Magick)|Lore (Folklore)|Lore (Herbs)|Lore (Theology)|Outdoor Survival|Trade (Herbalist)|Heal|Lore (Local)|Lore (Magic)|Lore (Spirits)|Pray|Secret Signs (Hedgefolk)|Animal Care|Gossip|Leadership|Perception|Endurance|Lore (Genealogy)|</t>
        </is>
      </c>
      <c r="K85" t="inlineStr">
        <is>
          <t>|Craftsman (Herbalist)|Petty Magic|Read/Write|Second Sight|Aethyric Attunement|Arcane Magic (Hedgecraft)|Sixth Sense|Striding Gait (any)|Instinctive Diction|Magical Sense|Master Tradesman (Herbalist)|Savant (Folklore)|Acute Sense (any)|Pure Soul|Resistant (Disease)|Strong-minded|</t>
        </is>
      </c>
      <c r="L85" t="inlineStr">
        <is>
          <t>Wise and secretive, you guide your community using ancient magic handed down through generations.</t>
        </is>
      </c>
      <c r="M85" t="inlineStr">
        <is>
          <t>Lore (Folklore)</t>
        </is>
      </c>
      <c r="N85" t="inlineStr">
        <is>
          <t>Human</t>
        </is>
      </c>
      <c r="O85" t="n">
        <v>65</v>
      </c>
      <c r="T85" t="n">
        <v>1</v>
      </c>
      <c r="U85" t="n">
        <v>4</v>
      </c>
      <c r="V85" t="n">
        <v>1</v>
      </c>
      <c r="W85" t="n">
        <v>1</v>
      </c>
      <c r="X85" t="n">
        <v>2</v>
      </c>
      <c r="Y85" t="n">
        <v>3</v>
      </c>
    </row>
    <row r="86">
      <c r="A86" t="inlineStr">
        <is>
          <t>Herbalist|1</t>
        </is>
      </c>
      <c r="B86" t="inlineStr">
        <is>
          <t>Herbalist</t>
        </is>
      </c>
      <c r="C86" t="n">
        <v>1</v>
      </c>
      <c r="D86" t="inlineStr">
        <is>
          <t>Peasant</t>
        </is>
      </c>
      <c r="E86" t="inlineStr">
        <is>
          <t>Herb Gatherer</t>
        </is>
      </c>
      <c r="F86" t="inlineStr">
        <is>
          <t>Brass 1</t>
        </is>
      </c>
      <c r="G86" t="inlineStr">
        <is>
          <t>Athletics, Climb, Endurance, Heal, Lore (Herbs), Outdoor Survival, Perception, Swim, Trade (Herbalist), Trade (Poisoner)</t>
        </is>
      </c>
      <c r="H86" t="inlineStr">
        <is>
          <t>Craftsman (Herbalist), Hardy, Orientation, Striding Gait (Any One)</t>
        </is>
      </c>
      <c r="I86" t="inlineStr">
        <is>
          <t>Boots, Cloak, Hand Weapon (Sickle), Sling Bag containing Assortment of Herbs</t>
        </is>
      </c>
      <c r="J86" t="inlineStr">
        <is>
          <t>|Athletics|Climb|Endurance|Heal|Lore (Herbs)|Outdoor Survival|Perception|Swim|Trade (Herbalist)|Trade (Poisoner)|</t>
        </is>
      </c>
      <c r="K86" t="inlineStr">
        <is>
          <t>|Craftsman (Herbalist)|Hardy|Orientation|Striding Gait (any)|</t>
        </is>
      </c>
      <c r="L86" t="inlineStr">
        <is>
          <t>A skilled botanist, you turn the earth's bounty into remedies and other treatments.</t>
        </is>
      </c>
      <c r="M86" t="inlineStr">
        <is>
          <t>Trade (Herbalist)</t>
        </is>
      </c>
      <c r="N86" t="inlineStr">
        <is>
          <t>Dwarf, Halfling, High Elf, Human, Wood Elf</t>
        </is>
      </c>
      <c r="O86" t="n">
        <v>66</v>
      </c>
      <c r="S86" t="n">
        <v>2</v>
      </c>
      <c r="T86" t="n">
        <v>3</v>
      </c>
      <c r="U86" t="n">
        <v>1</v>
      </c>
      <c r="V86" t="n">
        <v>1</v>
      </c>
      <c r="W86" t="n">
        <v>1</v>
      </c>
      <c r="Y86" t="n">
        <v>4</v>
      </c>
    </row>
    <row r="87">
      <c r="A87" t="inlineStr">
        <is>
          <t>Herbalist|2</t>
        </is>
      </c>
      <c r="B87" t="inlineStr">
        <is>
          <t>Herbalist</t>
        </is>
      </c>
      <c r="C87" t="n">
        <v>2</v>
      </c>
      <c r="D87" t="inlineStr">
        <is>
          <t>Peasant</t>
        </is>
      </c>
      <c r="E87" t="inlineStr">
        <is>
          <t>Herbalist</t>
        </is>
      </c>
      <c r="F87" t="inlineStr">
        <is>
          <t>Brass 4</t>
        </is>
      </c>
      <c r="G87" t="inlineStr">
        <is>
          <t>Charm, Evaluate, Gossip, Haggle, Lore (Local), Navigation</t>
        </is>
      </c>
      <c r="H87" t="inlineStr">
        <is>
          <t>Acute Sense (Taste), Field Dressing, Nimble-fingered, Sharp</t>
        </is>
      </c>
      <c r="I87" t="inlineStr">
        <is>
          <t>Trade Tools (Herbalist)</t>
        </is>
      </c>
      <c r="J87" t="inlineStr">
        <is>
          <t>|Athletics|Climb|Endurance|Heal|Lore (Herbs)|Outdoor Survival|Perception|Swim|Trade (Herbalist)|Trade (Poisoner)|Charm|Evaluate|Gossip|Haggle|Lore (Local)|Navigation|</t>
        </is>
      </c>
      <c r="K87" t="inlineStr">
        <is>
          <t>|Craftsman (Herbalist)|Hardy|Orientation|Striding Gait (any)|Acute Sense (Taste)|Field Dressing|Nimble-fingered|Sharp|</t>
        </is>
      </c>
      <c r="L87" t="inlineStr">
        <is>
          <t>A skilled botanist, you turn the earth's bounty into remedies and other treatments.</t>
        </is>
      </c>
      <c r="M87" t="inlineStr">
        <is>
          <t>Trade (Herbalist)</t>
        </is>
      </c>
      <c r="N87" t="inlineStr">
        <is>
          <t>Dwarf, Halfling, High Elf, Human, Wood Elf</t>
        </is>
      </c>
      <c r="O87" t="n">
        <v>66</v>
      </c>
      <c r="S87" t="n">
        <v>2</v>
      </c>
      <c r="T87" t="n">
        <v>3</v>
      </c>
      <c r="U87" t="n">
        <v>1</v>
      </c>
      <c r="V87" t="n">
        <v>1</v>
      </c>
      <c r="W87" t="n">
        <v>1</v>
      </c>
      <c r="Y87" t="n">
        <v>4</v>
      </c>
    </row>
    <row r="88">
      <c r="A88" t="inlineStr">
        <is>
          <t>Herbalist|3</t>
        </is>
      </c>
      <c r="B88" t="inlineStr">
        <is>
          <t>Herbalist</t>
        </is>
      </c>
      <c r="C88" t="n">
        <v>3</v>
      </c>
      <c r="D88" t="inlineStr">
        <is>
          <t>Peasant</t>
        </is>
      </c>
      <c r="E88" t="inlineStr">
        <is>
          <t>Herb Master</t>
        </is>
      </c>
      <c r="F88" t="inlineStr">
        <is>
          <t>Brass 5</t>
        </is>
      </c>
      <c r="G88" t="inlineStr">
        <is>
          <t>Animal Care, Cool, Leadership, Lore (Medicine)</t>
        </is>
      </c>
      <c r="H88" t="inlineStr">
        <is>
          <t>Concoct, Dealmaker, Master Tradesman (Herbalist), Savvy</t>
        </is>
      </c>
      <c r="I88" t="inlineStr">
        <is>
          <t>3 Herbal Remedies, Herb Gatherer, Workshop (Herbalist)</t>
        </is>
      </c>
      <c r="J88" t="inlineStr">
        <is>
          <t>|Athletics|Climb|Endurance|Heal|Lore (Herbs)|Outdoor Survival|Perception|Swim|Trade (Herbalist)|Trade (Poisoner)|Charm|Evaluate|Gossip|Haggle|Lore (Local)|Navigation|Animal Care|Cool|Leadership|Lore (Medicine)|</t>
        </is>
      </c>
      <c r="K88" t="inlineStr">
        <is>
          <t>|Craftsman (Herbalist)|Hardy|Orientation|Striding Gait (any)|Acute Sense (Taste)|Field Dressing|Nimble-fingered|Sharp|Concoct|Dealmaker|Master Tradesman (Herbalist)|Savvy|</t>
        </is>
      </c>
      <c r="L88" t="inlineStr">
        <is>
          <t>A skilled botanist, you turn the earth's bounty into remedies and other treatments.</t>
        </is>
      </c>
      <c r="M88" t="inlineStr">
        <is>
          <t>Trade (Herbalist)</t>
        </is>
      </c>
      <c r="N88" t="inlineStr">
        <is>
          <t>Dwarf, Halfling, High Elf, Human, Wood Elf</t>
        </is>
      </c>
      <c r="O88" t="n">
        <v>66</v>
      </c>
      <c r="S88" t="n">
        <v>2</v>
      </c>
      <c r="T88" t="n">
        <v>3</v>
      </c>
      <c r="U88" t="n">
        <v>1</v>
      </c>
      <c r="V88" t="n">
        <v>1</v>
      </c>
      <c r="W88" t="n">
        <v>1</v>
      </c>
      <c r="Y88" t="n">
        <v>4</v>
      </c>
    </row>
    <row r="89">
      <c r="A89" t="inlineStr">
        <is>
          <t>Herbalist|4</t>
        </is>
      </c>
      <c r="B89" t="inlineStr">
        <is>
          <t>Herbalist</t>
        </is>
      </c>
      <c r="C89" t="n">
        <v>4</v>
      </c>
      <c r="D89" t="inlineStr">
        <is>
          <t>Peasant</t>
        </is>
      </c>
      <c r="E89" t="inlineStr">
        <is>
          <t>Herbwise</t>
        </is>
      </c>
      <c r="F89" t="inlineStr">
        <is>
          <t>Silver 2</t>
        </is>
      </c>
      <c r="G89" t="inlineStr">
        <is>
          <t>Charm Animal, Drive</t>
        </is>
      </c>
      <c r="H89" t="inlineStr">
        <is>
          <t>Etiquette (Scholars), Read/Write, Resistant (Poison), Savant (Herbs)</t>
        </is>
      </c>
      <c r="I89" t="inlineStr">
        <is>
          <t>Book (Herbs), Pony and Cart</t>
        </is>
      </c>
      <c r="J89" t="inlineStr">
        <is>
          <t>|Athletics|Climb|Endurance|Heal|Lore (Herbs)|Outdoor Survival|Perception|Swim|Trade (Herbalist)|Trade (Poisoner)|Charm|Evaluate|Gossip|Haggle|Lore (Local)|Navigation|Animal Care|Cool|Leadership|Lore (Medicine)|Charm Animal|Drive|</t>
        </is>
      </c>
      <c r="K89" t="inlineStr">
        <is>
          <t>|Craftsman (Herbalist)|Hardy|Orientation|Striding Gait (any)|Acute Sense (Taste)|Field Dressing|Nimble-fingered|Sharp|Concoct|Dealmaker|Master Tradesman (Herbalist)|Savvy|Etiquette (Scholars)|Read/Write|Resistant (Poison)|Savant (Herbs)|</t>
        </is>
      </c>
      <c r="L89" t="inlineStr">
        <is>
          <t>A skilled botanist, you turn the earth's bounty into remedies and other treatments.</t>
        </is>
      </c>
      <c r="M89" t="inlineStr">
        <is>
          <t>Trade (Herbalist)</t>
        </is>
      </c>
      <c r="N89" t="inlineStr">
        <is>
          <t>Dwarf, Halfling, High Elf, Human, Wood Elf</t>
        </is>
      </c>
      <c r="O89" t="n">
        <v>66</v>
      </c>
      <c r="S89" t="n">
        <v>2</v>
      </c>
      <c r="T89" t="n">
        <v>3</v>
      </c>
      <c r="U89" t="n">
        <v>1</v>
      </c>
      <c r="V89" t="n">
        <v>1</v>
      </c>
      <c r="W89" t="n">
        <v>1</v>
      </c>
      <c r="Y89" t="n">
        <v>4</v>
      </c>
    </row>
    <row r="90">
      <c r="A90" t="inlineStr">
        <is>
          <t>Hunter|1</t>
        </is>
      </c>
      <c r="B90" t="inlineStr">
        <is>
          <t>Hunter</t>
        </is>
      </c>
      <c r="C90" t="n">
        <v>1</v>
      </c>
      <c r="D90" t="inlineStr">
        <is>
          <t>Peasant</t>
        </is>
      </c>
      <c r="E90" t="inlineStr">
        <is>
          <t>Trapper</t>
        </is>
      </c>
      <c r="F90" t="inlineStr">
        <is>
          <t>Brass 2</t>
        </is>
      </c>
      <c r="G90" t="inlineStr">
        <is>
          <t>Animal Care, Athletics, Charm Animal, Climb, Endurance, Outdoor Survival, Perception, Set Trap, Stealth (Rural), Track</t>
        </is>
      </c>
      <c r="H90" t="inlineStr">
        <is>
          <t>Hardy, Rover, Striding Gait (All), Trapper</t>
        </is>
      </c>
      <c r="I90" t="inlineStr">
        <is>
          <t>Hand Weapon (Axe), Selection of Animal Traps, Sturdy Boots and Cloak</t>
        </is>
      </c>
      <c r="J90" t="inlineStr">
        <is>
          <t>|Animal Care|Athletics|Charm Animal|Climb|Endurance|Outdoor Survival|Perception|Set Trap|Stealth (Rural)|Track|</t>
        </is>
      </c>
      <c r="K90" t="inlineStr">
        <is>
          <t>|Hardy|Rover|Striding Gait (any)|Trapper|</t>
        </is>
      </c>
      <c r="L90" t="inlineStr">
        <is>
          <t>You are a tough, independent killer who makes a living trading the fur and flesh of wild creatures.</t>
        </is>
      </c>
      <c r="M90" t="inlineStr">
        <is>
          <t>Outdoor Survival</t>
        </is>
      </c>
      <c r="N90" t="inlineStr">
        <is>
          <t>Dwarf, Halfling, High Elf, Human, Wood Elf</t>
        </is>
      </c>
      <c r="O90" t="n">
        <v>67</v>
      </c>
      <c r="Q90" t="n">
        <v>2</v>
      </c>
      <c r="S90" t="n">
        <v>3</v>
      </c>
      <c r="T90" t="n">
        <v>1</v>
      </c>
      <c r="U90" t="n">
        <v>1</v>
      </c>
      <c r="W90" t="n">
        <v>1</v>
      </c>
      <c r="X90" t="n">
        <v>4</v>
      </c>
    </row>
    <row r="91">
      <c r="A91" t="inlineStr">
        <is>
          <t>Hunter|2</t>
        </is>
      </c>
      <c r="B91" t="inlineStr">
        <is>
          <t>Hunter</t>
        </is>
      </c>
      <c r="C91" t="n">
        <v>2</v>
      </c>
      <c r="D91" t="inlineStr">
        <is>
          <t>Peasant</t>
        </is>
      </c>
      <c r="E91" t="inlineStr">
        <is>
          <t>Hunter</t>
        </is>
      </c>
      <c r="F91" t="inlineStr">
        <is>
          <t>Brass 4</t>
        </is>
      </c>
      <c r="G91" t="inlineStr">
        <is>
          <t>Animal Training (Dog), Cool, Lore (Beasts), Melee (Polearm), Ranged (Blackpowder, Bow, Crossbow, Sling, or Throwing), Secret Signs (Ranger)</t>
        </is>
      </c>
      <c r="H91" t="inlineStr">
        <is>
          <t>Accurate Shot, Hunter's Eye, Marksman, Sharpshooter</t>
        </is>
      </c>
      <c r="I91" t="inlineStr">
        <is>
          <t>Hunting Dog, Ranged Weapon (Any One), Spear</t>
        </is>
      </c>
      <c r="J91" t="inlineStr">
        <is>
          <t>|Animal Care|Athletics|Charm Animal|Climb|Endurance|Outdoor Survival|Perception|Set Trap|Stealth (Rural)|Track|Animal Training (Dog)|Cool|Lore (Beasts)|Melee (Polearm)|Ranged (Blackpowder)|Ranged (Bow)|Ranged (Crossbow)|Ranged (Sling)|Ranged (Throwing)|Secret Signs (Ranger)|</t>
        </is>
      </c>
      <c r="K91" t="inlineStr">
        <is>
          <t>|Hardy|Rover|Striding Gait (any)|Trapper|Accurate Shot|Hunter's Eye|Marksman|Sharpshooter|</t>
        </is>
      </c>
      <c r="L91" t="inlineStr">
        <is>
          <t>You are a tough, independent killer who makes a living trading the fur and flesh of wild creatures.</t>
        </is>
      </c>
      <c r="M91" t="inlineStr">
        <is>
          <t>Outdoor Survival</t>
        </is>
      </c>
      <c r="N91" t="inlineStr">
        <is>
          <t>Dwarf, Halfling, High Elf, Human, Wood Elf</t>
        </is>
      </c>
      <c r="O91" t="n">
        <v>67</v>
      </c>
      <c r="Q91" t="n">
        <v>2</v>
      </c>
      <c r="S91" t="n">
        <v>3</v>
      </c>
      <c r="T91" t="n">
        <v>1</v>
      </c>
      <c r="U91" t="n">
        <v>1</v>
      </c>
      <c r="W91" t="n">
        <v>1</v>
      </c>
      <c r="X91" t="n">
        <v>4</v>
      </c>
    </row>
    <row r="92">
      <c r="A92" t="inlineStr">
        <is>
          <t>Hunter|3</t>
        </is>
      </c>
      <c r="B92" t="inlineStr">
        <is>
          <t>Hunter</t>
        </is>
      </c>
      <c r="C92" t="n">
        <v>3</v>
      </c>
      <c r="D92" t="inlineStr">
        <is>
          <t>Peasant</t>
        </is>
      </c>
      <c r="E92" t="inlineStr">
        <is>
          <t>Tracker</t>
        </is>
      </c>
      <c r="F92" t="inlineStr">
        <is>
          <t>Silver 1</t>
        </is>
      </c>
      <c r="G92" t="inlineStr">
        <is>
          <t>Entertain (Storytelling), Haggle, Navigation, Swim</t>
        </is>
      </c>
      <c r="H92" t="inlineStr">
        <is>
          <t>Acute Sense (Any One), Deadeye Shot, Fearless (Beasts), Sure Shot</t>
        </is>
      </c>
      <c r="I92" t="inlineStr">
        <is>
          <t>Backpack, Bedroll, Tent</t>
        </is>
      </c>
      <c r="J92" t="inlineStr">
        <is>
          <t>|Animal Care|Athletics|Charm Animal|Climb|Endurance|Outdoor Survival|Perception|Set Trap|Stealth (Rural)|Track|Animal Training (Dog)|Cool|Lore (Beasts)|Melee (Polearm)|Ranged (Blackpowder)|Ranged (Bow)|Ranged (Crossbow)|Ranged (Sling)|Ranged (Throwing)|Secret Signs (Ranger)|Entertain (Storytelling)|Haggle|Navigation|Swim|</t>
        </is>
      </c>
      <c r="K92" t="inlineStr">
        <is>
          <t>|Hardy|Rover|Striding Gait (any)|Trapper|Accurate Shot|Hunter's Eye|Marksman|Sharpshooter|Acute Sense (any)|Deadeye Shot|Fearless (Beasts)|Sure Shot|</t>
        </is>
      </c>
      <c r="L92" t="inlineStr">
        <is>
          <t>You are a tough, independent killer who makes a living trading the fur and flesh of wild creatures.</t>
        </is>
      </c>
      <c r="M92" t="inlineStr">
        <is>
          <t>Outdoor Survival</t>
        </is>
      </c>
      <c r="N92" t="inlineStr">
        <is>
          <t>Dwarf, Halfling, High Elf, Human, Wood Elf</t>
        </is>
      </c>
      <c r="O92" t="n">
        <v>67</v>
      </c>
      <c r="Q92" t="n">
        <v>2</v>
      </c>
      <c r="S92" t="n">
        <v>3</v>
      </c>
      <c r="T92" t="n">
        <v>1</v>
      </c>
      <c r="U92" t="n">
        <v>1</v>
      </c>
      <c r="W92" t="n">
        <v>1</v>
      </c>
      <c r="X92" t="n">
        <v>4</v>
      </c>
    </row>
    <row r="93">
      <c r="A93" t="inlineStr">
        <is>
          <t>Hunter|4</t>
        </is>
      </c>
      <c r="B93" t="inlineStr">
        <is>
          <t>Hunter</t>
        </is>
      </c>
      <c r="C93" t="n">
        <v>4</v>
      </c>
      <c r="D93" t="inlineStr">
        <is>
          <t>Peasant</t>
        </is>
      </c>
      <c r="E93" t="inlineStr">
        <is>
          <t>Huntsmaster</t>
        </is>
      </c>
      <c r="F93" t="inlineStr">
        <is>
          <t>Silver 4</t>
        </is>
      </c>
      <c r="G93" t="inlineStr">
        <is>
          <t>Animal Training (Hawk), Ride (Horse)</t>
        </is>
      </c>
      <c r="H93" t="inlineStr">
        <is>
          <t>Etiquette (Servants), Fast Shot, Robust, Sniper</t>
        </is>
      </c>
      <c r="I93" t="inlineStr">
        <is>
          <t>Hawk Mews or Kennel of Hunting Dogs, Riding Horse</t>
        </is>
      </c>
      <c r="J93" t="inlineStr">
        <is>
          <t>|Animal Care|Athletics|Charm Animal|Climb|Endurance|Outdoor Survival|Perception|Set Trap|Stealth (Rural)|Track|Animal Training (Dog)|Cool|Lore (Beasts)|Melee (Polearm)|Ranged (Blackpowder)|Ranged (Bow)|Ranged (Crossbow)|Ranged (Sling)|Ranged (Throwing)|Secret Signs (Ranger)|Entertain (Storytelling)|Haggle|Navigation|Swim|Animal Training (Hawk)|Ride (Horse)|</t>
        </is>
      </c>
      <c r="K93" t="inlineStr">
        <is>
          <t>|Hardy|Rover|Striding Gait (any)|Trapper|Accurate Shot|Hunter's Eye|Marksman|Sharpshooter|Acute Sense (any)|Deadeye Shot|Fearless (Beasts)|Sure Shot|Etiquette (Servants)|Fast Shot|Robust|Sniper|</t>
        </is>
      </c>
      <c r="L93" t="inlineStr">
        <is>
          <t>You are a tough, independent killer who makes a living trading the fur and flesh of wild creatures.</t>
        </is>
      </c>
      <c r="M93" t="inlineStr">
        <is>
          <t>Outdoor Survival</t>
        </is>
      </c>
      <c r="N93" t="inlineStr">
        <is>
          <t>Dwarf, Halfling, High Elf, Human, Wood Elf</t>
        </is>
      </c>
      <c r="O93" t="n">
        <v>67</v>
      </c>
      <c r="Q93" t="n">
        <v>2</v>
      </c>
      <c r="S93" t="n">
        <v>3</v>
      </c>
      <c r="T93" t="n">
        <v>1</v>
      </c>
      <c r="U93" t="n">
        <v>1</v>
      </c>
      <c r="W93" t="n">
        <v>1</v>
      </c>
      <c r="X93" t="n">
        <v>4</v>
      </c>
    </row>
    <row r="94">
      <c r="A94" t="inlineStr">
        <is>
          <t>Investigator|1</t>
        </is>
      </c>
      <c r="B94" t="inlineStr">
        <is>
          <t>Investigator</t>
        </is>
      </c>
      <c r="C94" t="n">
        <v>1</v>
      </c>
      <c r="D94" t="inlineStr">
        <is>
          <t>Burgher</t>
        </is>
      </c>
      <c r="E94" t="inlineStr">
        <is>
          <t>Enquirer</t>
        </is>
      </c>
      <c r="F94" t="inlineStr">
        <is>
          <t>Silver 1</t>
        </is>
      </c>
      <c r="G94" t="inlineStr">
        <is>
          <t>Charm, Climb, Cool, Dodge, Gossip, Intuition, Melee (Brawling), Perception, Stealth (Urban), Track</t>
        </is>
      </c>
      <c r="H94" t="inlineStr">
        <is>
          <t>Alley Cat, Beneath Notice, Read/Write, Sharp</t>
        </is>
      </c>
      <c r="I94" t="inlineStr">
        <is>
          <t>Lamp Oil, Lantern, Journal, Writing Kit</t>
        </is>
      </c>
      <c r="J94" t="inlineStr">
        <is>
          <t>|Charm|Climb|Cool|Dodge|Gossip|Intuition|Melee (Brawling)|Perception|Stealth (Urban)|Track|</t>
        </is>
      </c>
      <c r="K94" t="inlineStr">
        <is>
          <t>|Alley Cat|Beneath Notice|Read/Write|Sharp|</t>
        </is>
      </c>
      <c r="L94" t="inlineStr">
        <is>
          <t>Perceptive and suspicious, you probe deep into the heart of any unsolved mystery to find answers.</t>
        </is>
      </c>
      <c r="M94" t="inlineStr">
        <is>
          <t>Perception</t>
        </is>
      </c>
      <c r="N94" t="inlineStr">
        <is>
          <t>Dwarf, Halfling, High Elf, Human</t>
        </is>
      </c>
      <c r="O94" t="n">
        <v>68</v>
      </c>
      <c r="T94" t="n">
        <v>1</v>
      </c>
      <c r="U94" t="n">
        <v>1</v>
      </c>
      <c r="V94" t="n">
        <v>4</v>
      </c>
      <c r="W94" t="n">
        <v>2</v>
      </c>
      <c r="X94" t="n">
        <v>3</v>
      </c>
      <c r="Y94" t="n">
        <v>1</v>
      </c>
    </row>
    <row r="95">
      <c r="A95" t="inlineStr">
        <is>
          <t>Investigator|2</t>
        </is>
      </c>
      <c r="B95" t="inlineStr">
        <is>
          <t>Investigator</t>
        </is>
      </c>
      <c r="C95" t="n">
        <v>2</v>
      </c>
      <c r="D95" t="inlineStr">
        <is>
          <t>Burgher</t>
        </is>
      </c>
      <c r="E95" t="inlineStr">
        <is>
          <t>Investigator</t>
        </is>
      </c>
      <c r="F95" t="inlineStr">
        <is>
          <t>Silver 2</t>
        </is>
      </c>
      <c r="G95" t="inlineStr">
        <is>
          <t>Bribery, Consume Alcohol, Evaluate, Intimidate, Pick Lock, Sleight of Hand</t>
        </is>
      </c>
      <c r="H95" t="inlineStr">
        <is>
          <t>Etiquette (Any One), Nose for Trouble, Savvy, Shadow</t>
        </is>
      </c>
      <c r="I95" t="inlineStr">
        <is>
          <t>Leather Jack, Hand Weapon, Magnifying Glass, Lockpick</t>
        </is>
      </c>
      <c r="J95" t="inlineStr">
        <is>
          <t>|Charm|Climb|Cool|Dodge|Gossip|Intuition|Melee (Brawling)|Perception|Stealth (Urban)|Track|Bribery|Consume Alcohol|Evaluate|Intimidate|Pick Lock|Sleight of Hand|</t>
        </is>
      </c>
      <c r="K95" t="inlineStr">
        <is>
          <t>|Alley Cat|Beneath Notice|Read/Write|Sharp|Etiquette (any)|Nose for Trouble|Savvy|Shadow|</t>
        </is>
      </c>
      <c r="L95" t="inlineStr">
        <is>
          <t>Perceptive and suspicious, you probe deep into the heart of any unsolved mystery to find answers.</t>
        </is>
      </c>
      <c r="M95" t="inlineStr">
        <is>
          <t>Perception</t>
        </is>
      </c>
      <c r="N95" t="inlineStr">
        <is>
          <t>Dwarf, Halfling, High Elf, Human</t>
        </is>
      </c>
      <c r="O95" t="n">
        <v>68</v>
      </c>
      <c r="T95" t="n">
        <v>1</v>
      </c>
      <c r="U95" t="n">
        <v>1</v>
      </c>
      <c r="V95" t="n">
        <v>4</v>
      </c>
      <c r="W95" t="n">
        <v>2</v>
      </c>
      <c r="X95" t="n">
        <v>3</v>
      </c>
      <c r="Y95" t="n">
        <v>1</v>
      </c>
    </row>
    <row r="96">
      <c r="A96" t="inlineStr">
        <is>
          <t>Investigator|3</t>
        </is>
      </c>
      <c r="B96" t="inlineStr">
        <is>
          <t>Investigator</t>
        </is>
      </c>
      <c r="C96" t="n">
        <v>3</v>
      </c>
      <c r="D96" t="inlineStr">
        <is>
          <t>Burgher</t>
        </is>
      </c>
      <c r="E96" t="inlineStr">
        <is>
          <t>Sleuth</t>
        </is>
      </c>
      <c r="F96" t="inlineStr">
        <is>
          <t>Silver 3</t>
        </is>
      </c>
      <c r="G96" t="inlineStr">
        <is>
          <t>Leadership, Lore (Any One), Lore (Law), Research</t>
        </is>
      </c>
      <c r="H96" t="inlineStr">
        <is>
          <t>Bookish, Break and Enter, Sixth Sense, Suave</t>
        </is>
      </c>
      <c r="I96" t="inlineStr">
        <is>
          <t>Assistant, Office</t>
        </is>
      </c>
      <c r="J96" t="inlineStr">
        <is>
          <t>|Charm|Climb|Cool|Dodge|Gossip|Intuition|Melee (Brawling)|Perception|Stealth (Urban)|Track|Bribery|Consume Alcohol|Evaluate|Intimidate|Pick Lock|Sleight of Hand|Leadership|Lore (any)|Lore (Law)|Research|</t>
        </is>
      </c>
      <c r="K96" t="inlineStr">
        <is>
          <t>|Alley Cat|Beneath Notice|Read/Write|Sharp|Etiquette (any)|Nose for Trouble|Savvy|Shadow|Bookish|Break and Enter|Sixth Sense|Suave|</t>
        </is>
      </c>
      <c r="L96" t="inlineStr">
        <is>
          <t>Perceptive and suspicious, you probe deep into the heart of any unsolved mystery to find answers.</t>
        </is>
      </c>
      <c r="M96" t="inlineStr">
        <is>
          <t>Perception</t>
        </is>
      </c>
      <c r="N96" t="inlineStr">
        <is>
          <t>Dwarf, Halfling, High Elf, Human</t>
        </is>
      </c>
      <c r="O96" t="n">
        <v>68</v>
      </c>
      <c r="T96" t="n">
        <v>1</v>
      </c>
      <c r="U96" t="n">
        <v>1</v>
      </c>
      <c r="V96" t="n">
        <v>4</v>
      </c>
      <c r="W96" t="n">
        <v>2</v>
      </c>
      <c r="X96" t="n">
        <v>3</v>
      </c>
      <c r="Y96" t="n">
        <v>1</v>
      </c>
    </row>
    <row r="97">
      <c r="A97" t="inlineStr">
        <is>
          <t>Investigator|4</t>
        </is>
      </c>
      <c r="B97" t="inlineStr">
        <is>
          <t>Investigator</t>
        </is>
      </c>
      <c r="C97" t="n">
        <v>4</v>
      </c>
      <c r="D97" t="inlineStr">
        <is>
          <t>Burgher</t>
        </is>
      </c>
      <c r="E97" t="inlineStr">
        <is>
          <t>Detective</t>
        </is>
      </c>
      <c r="F97" t="inlineStr">
        <is>
          <t>Silver 5</t>
        </is>
      </c>
      <c r="G97" t="inlineStr">
        <is>
          <t>Lore (Any One), Secret Signs (Any One)</t>
        </is>
      </c>
      <c r="H97" t="inlineStr">
        <is>
          <t>Acute Sense (Any One), Savant (Any One), Speedreader, Tower of Memories</t>
        </is>
      </c>
      <c r="I97" t="inlineStr">
        <is>
          <t>Network of Informers, Spyglass</t>
        </is>
      </c>
      <c r="J97" t="inlineStr">
        <is>
          <t>|Charm|Climb|Cool|Dodge|Gossip|Intuition|Melee (Brawling)|Perception|Stealth (Urban)|Track|Bribery|Consume Alcohol|Evaluate|Intimidate|Pick Lock|Sleight of Hand|Leadership|Lore (any)|Lore (Law)|Research|Secret Signs (any)|</t>
        </is>
      </c>
      <c r="K97" t="inlineStr">
        <is>
          <t>|Alley Cat|Beneath Notice|Read/Write|Sharp|Etiquette (any)|Nose for Trouble|Savvy|Shadow|Bookish|Break and Enter|Sixth Sense|Suave|Acute Sense (any)|Savant (any)|Speedreader|Tower of Memories|</t>
        </is>
      </c>
      <c r="L97" t="inlineStr">
        <is>
          <t>Perceptive and suspicious, you probe deep into the heart of any unsolved mystery to find answers.</t>
        </is>
      </c>
      <c r="M97" t="inlineStr">
        <is>
          <t>Perception</t>
        </is>
      </c>
      <c r="N97" t="inlineStr">
        <is>
          <t>Dwarf, Halfling, High Elf, Human</t>
        </is>
      </c>
      <c r="O97" t="n">
        <v>68</v>
      </c>
      <c r="T97" t="n">
        <v>1</v>
      </c>
      <c r="U97" t="n">
        <v>1</v>
      </c>
      <c r="V97" t="n">
        <v>4</v>
      </c>
      <c r="W97" t="n">
        <v>2</v>
      </c>
      <c r="X97" t="n">
        <v>3</v>
      </c>
      <c r="Y97" t="n">
        <v>1</v>
      </c>
    </row>
    <row r="98">
      <c r="A98" t="inlineStr">
        <is>
          <t>Knave|1</t>
        </is>
      </c>
      <c r="B98" t="inlineStr">
        <is>
          <t>Knave</t>
        </is>
      </c>
      <c r="C98" t="n">
        <v>1</v>
      </c>
      <c r="D98" t="inlineStr">
        <is>
          <t>Rogue</t>
        </is>
      </c>
      <c r="E98" t="inlineStr">
        <is>
          <t>Hustler</t>
        </is>
      </c>
      <c r="F98" t="inlineStr">
        <is>
          <t>Brass 2</t>
        </is>
      </c>
      <c r="G98" t="inlineStr">
        <is>
          <t>Bribery, Charm, Consume Alcohol, Entertain (Any One), Gamble, Gossip, Haggle, Intuition, Lore (Local), Stealth (Urban)</t>
        </is>
      </c>
      <c r="H98" t="inlineStr">
        <is>
          <t>Attractive, Blather, Criminal, Gregarious</t>
        </is>
      </c>
      <c r="I98" t="inlineStr">
        <is>
          <t>Flask of Spirits</t>
        </is>
      </c>
      <c r="J98" t="inlineStr">
        <is>
          <t>|Bribery|Charm|Consume Alcohol|Entertain (any)|Gamble|Gossip|Haggle|Intuition|Lore (Local)|Stealth (Urban)|</t>
        </is>
      </c>
      <c r="K98" t="inlineStr">
        <is>
          <t>|Attractive|Blather|Criminal|Gregarious|</t>
        </is>
      </c>
      <c r="L98" t="inlineStr">
        <is>
          <t>Streetwise and mercenary, you help people find illicit goods and services on the seedier side of town.</t>
        </is>
      </c>
      <c r="M98" t="inlineStr">
        <is>
          <t>Charm</t>
        </is>
      </c>
      <c r="N98" t="inlineStr">
        <is>
          <t>Halfling, High Elf, Human</t>
        </is>
      </c>
      <c r="O98" t="n">
        <v>69</v>
      </c>
      <c r="P98" t="n">
        <v>3</v>
      </c>
      <c r="T98" t="n">
        <v>1</v>
      </c>
      <c r="U98" t="n">
        <v>2</v>
      </c>
      <c r="W98" t="n">
        <v>1</v>
      </c>
      <c r="X98" t="n">
        <v>4</v>
      </c>
      <c r="Y98" t="n">
        <v>1</v>
      </c>
    </row>
    <row r="99">
      <c r="A99" t="inlineStr">
        <is>
          <t>Knave|2</t>
        </is>
      </c>
      <c r="B99" t="inlineStr">
        <is>
          <t>Knave</t>
        </is>
      </c>
      <c r="C99" t="n">
        <v>2</v>
      </c>
      <c r="D99" t="inlineStr">
        <is>
          <t>Rogue</t>
        </is>
      </c>
      <c r="E99" t="inlineStr">
        <is>
          <t>Knave</t>
        </is>
      </c>
      <c r="F99" t="inlineStr">
        <is>
          <t>Brass 3</t>
        </is>
      </c>
      <c r="G99" t="inlineStr">
        <is>
          <t>Endurance, Language (Thieves Tongue), Lore (Any One), Melee (Basic), Perception, Secret Signs (Thief)</t>
        </is>
      </c>
      <c r="H99" t="inlineStr">
        <is>
          <t>Carouser, Etiquette (Any One), Resistant (Disease or Poison), Suave</t>
        </is>
      </c>
      <c r="I99" t="inlineStr">
        <is>
          <t>Dose of Weirdroot, Quality Clothing</t>
        </is>
      </c>
      <c r="J99" t="inlineStr">
        <is>
          <t>|Bribery|Charm|Consume Alcohol|Entertain (any)|Gamble|Gossip|Haggle|Intuition|Lore (Local)|Stealth (Urban)|Endurance|Language (Thieves Tongue)|Lore (any)|Melee (Basic)|Perception|Secret Signs (Thief)|</t>
        </is>
      </c>
      <c r="K99" t="inlineStr">
        <is>
          <t>|Attractive|Blather|Criminal|Gregarious|Carouser|Etiquette (any)|Resistant (Disease)|Resistant (Poison)|Suave|</t>
        </is>
      </c>
      <c r="L99" t="inlineStr">
        <is>
          <t>Streetwise and mercenary, you help people find illicit goods and services on the seedier side of town.</t>
        </is>
      </c>
      <c r="M99" t="inlineStr">
        <is>
          <t>Charm</t>
        </is>
      </c>
      <c r="N99" t="inlineStr">
        <is>
          <t>Halfling, High Elf, Human</t>
        </is>
      </c>
      <c r="O99" t="n">
        <v>69</v>
      </c>
      <c r="P99" t="n">
        <v>3</v>
      </c>
      <c r="T99" t="n">
        <v>1</v>
      </c>
      <c r="U99" t="n">
        <v>2</v>
      </c>
      <c r="W99" t="n">
        <v>1</v>
      </c>
      <c r="X99" t="n">
        <v>4</v>
      </c>
      <c r="Y99" t="n">
        <v>1</v>
      </c>
    </row>
    <row r="100">
      <c r="A100" t="inlineStr">
        <is>
          <t>Knave|3</t>
        </is>
      </c>
      <c r="B100" t="inlineStr">
        <is>
          <t>Knave</t>
        </is>
      </c>
      <c r="C100" t="n">
        <v>3</v>
      </c>
      <c r="D100" t="inlineStr">
        <is>
          <t>Rogue</t>
        </is>
      </c>
      <c r="E100" t="inlineStr">
        <is>
          <t>Procurer</t>
        </is>
      </c>
      <c r="F100" t="inlineStr">
        <is>
          <t>Silver 1</t>
        </is>
      </c>
      <c r="G100" t="inlineStr">
        <is>
          <t>Cool, Dodge, Evaluate, Leadership</t>
        </is>
      </c>
      <c r="H100" t="inlineStr">
        <is>
          <t>Briber, Dealmaker, Embezzle, Numismatics</t>
        </is>
      </c>
      <c r="I100" t="inlineStr">
        <is>
          <t>A Ring of Hustlers</t>
        </is>
      </c>
      <c r="J100" t="inlineStr">
        <is>
          <t>|Bribery|Charm|Consume Alcohol|Entertain (any)|Gamble|Gossip|Haggle|Intuition|Lore (Local)|Stealth (Urban)|Endurance|Language (Thieves Tongue)|Lore (any)|Melee (Basic)|Perception|Secret Signs (Thief)|Cool|Dodge|Evaluate|Leadership|</t>
        </is>
      </c>
      <c r="K100" t="inlineStr">
        <is>
          <t>|Attractive|Blather|Criminal|Gregarious|Carouser|Etiquette (any)|Resistant (Disease)|Resistant (Poison)|Suave|Briber|Dealmaker|Embezzle|Numismatics|</t>
        </is>
      </c>
      <c r="L100" t="inlineStr">
        <is>
          <t>Streetwise and mercenary, you help people find illicit goods and services on the seedier side of town.</t>
        </is>
      </c>
      <c r="M100" t="inlineStr">
        <is>
          <t>Charm</t>
        </is>
      </c>
      <c r="N100" t="inlineStr">
        <is>
          <t>Halfling, High Elf, Human</t>
        </is>
      </c>
      <c r="O100" t="n">
        <v>69</v>
      </c>
      <c r="P100" t="n">
        <v>3</v>
      </c>
      <c r="T100" t="n">
        <v>1</v>
      </c>
      <c r="U100" t="n">
        <v>2</v>
      </c>
      <c r="W100" t="n">
        <v>1</v>
      </c>
      <c r="X100" t="n">
        <v>4</v>
      </c>
      <c r="Y100" t="n">
        <v>1</v>
      </c>
    </row>
    <row r="101">
      <c r="A101" t="inlineStr">
        <is>
          <t>Knave|4</t>
        </is>
      </c>
      <c r="B101" t="inlineStr">
        <is>
          <t>Knave</t>
        </is>
      </c>
      <c r="C101" t="n">
        <v>4</v>
      </c>
      <c r="D101" t="inlineStr">
        <is>
          <t>Rogue</t>
        </is>
      </c>
      <c r="E101" t="inlineStr">
        <is>
          <t>Ringleader</t>
        </is>
      </c>
      <c r="F101" t="inlineStr">
        <is>
          <t>Silver 3</t>
        </is>
      </c>
      <c r="G101" t="inlineStr">
        <is>
          <t>Intimidate, Lore (Law)</t>
        </is>
      </c>
      <c r="H101" t="inlineStr">
        <is>
          <t>Kingpin, Read/Write, Savant (Local), Schemer</t>
        </is>
      </c>
      <c r="I101" t="inlineStr">
        <is>
          <t>A Ring of Knaves, Townhouse with Discreet Back Entrance</t>
        </is>
      </c>
      <c r="J101" t="inlineStr">
        <is>
          <t>|Bribery|Charm|Consume Alcohol|Entertain (any)|Gamble|Gossip|Haggle|Intuition|Lore (Local)|Stealth (Urban)|Endurance|Language (Thieves Tongue)|Lore (any)|Melee (Basic)|Perception|Secret Signs (Thief)|Cool|Dodge|Evaluate|Leadership|Intimidate|Lore (Law)|</t>
        </is>
      </c>
      <c r="K101" t="inlineStr">
        <is>
          <t>|Attractive|Blather|Criminal|Gregarious|Carouser|Etiquette (any)|Resistant (Disease)|Resistant (Poison)|Suave|Briber|Dealmaker|Embezzle|Numismatics|Kingpin|Read/Write|Savant (Local)|Schemer|</t>
        </is>
      </c>
      <c r="L101" t="inlineStr">
        <is>
          <t>Streetwise and mercenary, you help people find illicit goods and services on the seedier side of town.</t>
        </is>
      </c>
      <c r="M101" t="inlineStr">
        <is>
          <t>Charm</t>
        </is>
      </c>
      <c r="N101" t="inlineStr">
        <is>
          <t>Halfling, High Elf, Human</t>
        </is>
      </c>
      <c r="O101" t="n">
        <v>69</v>
      </c>
      <c r="P101" t="n">
        <v>3</v>
      </c>
      <c r="T101" t="n">
        <v>1</v>
      </c>
      <c r="U101" t="n">
        <v>2</v>
      </c>
      <c r="W101" t="n">
        <v>1</v>
      </c>
      <c r="X101" t="n">
        <v>4</v>
      </c>
      <c r="Y101" t="n">
        <v>1</v>
      </c>
    </row>
    <row r="102">
      <c r="A102" t="inlineStr">
        <is>
          <t>Knight|1</t>
        </is>
      </c>
      <c r="B102" t="inlineStr">
        <is>
          <t>Knight</t>
        </is>
      </c>
      <c r="C102" t="n">
        <v>1</v>
      </c>
      <c r="D102" t="inlineStr">
        <is>
          <t>Warrior</t>
        </is>
      </c>
      <c r="E102" t="inlineStr">
        <is>
          <t>Squire</t>
        </is>
      </c>
      <c r="F102" t="inlineStr">
        <is>
          <t>Silver 3</t>
        </is>
      </c>
      <c r="G102" t="inlineStr">
        <is>
          <t>Animal Care, Athletics, Charm Animal, Cool, Heal, Lore (Heraldry), Melee (Basic), Melee (Cavalry), Ride (Horse), Trade (Farrier)</t>
        </is>
      </c>
      <c r="H102" t="inlineStr">
        <is>
          <t>Etiquette (Nobles, or Soldiers), Noble Blood, Strike Mighty Blow, Warrior Born</t>
        </is>
      </c>
      <c r="I102" t="inlineStr">
        <is>
          <t>Leather Jack, Mail Shirt, Riding Horse, Shield, Trade Tools (Farrier)</t>
        </is>
      </c>
      <c r="J102" t="inlineStr">
        <is>
          <t>|Animal Care|Athletics|Charm Animal|Cool|Heal|Lore (Heraldry)|Melee (Basic)|Melee (Cavalry)|Ride (Horse)|Trade (Farrier)|</t>
        </is>
      </c>
      <c r="K102" t="inlineStr">
        <is>
          <t>|Etiquette (Nobles)|Etiquette (Soldiers)|Noble Blood|Strike Mighty Blow|Warrior Born|</t>
        </is>
      </c>
      <c r="L102" t="inlineStr">
        <is>
          <t>Thundering into battle on a heavy charger, you dominate the field, spreading fear amongst your foes.</t>
        </is>
      </c>
      <c r="M102" t="inlineStr">
        <is>
          <t>Melee (Cavalry)</t>
        </is>
      </c>
      <c r="N102" t="inlineStr">
        <is>
          <t>High Elf, Human, Wood Elf</t>
        </is>
      </c>
      <c r="O102" t="n">
        <v>70</v>
      </c>
      <c r="P102" t="n">
        <v>1</v>
      </c>
      <c r="R102" t="n">
        <v>1</v>
      </c>
      <c r="S102" t="n">
        <v>2</v>
      </c>
      <c r="U102" t="n">
        <v>1</v>
      </c>
      <c r="X102" t="n">
        <v>3</v>
      </c>
      <c r="Y102" t="n">
        <v>4</v>
      </c>
    </row>
    <row r="103">
      <c r="A103" t="inlineStr">
        <is>
          <t>Knight|2</t>
        </is>
      </c>
      <c r="B103" t="inlineStr">
        <is>
          <t>Knight</t>
        </is>
      </c>
      <c r="C103" t="n">
        <v>2</v>
      </c>
      <c r="D103" t="inlineStr">
        <is>
          <t>Warrior</t>
        </is>
      </c>
      <c r="E103" t="inlineStr">
        <is>
          <t>Knight</t>
        </is>
      </c>
      <c r="F103" t="inlineStr">
        <is>
          <t>Silver 5</t>
        </is>
      </c>
      <c r="G103" t="inlineStr">
        <is>
          <t>Dodge, Endurance, Intimidate, Language (Battle), Melee (Any One), Play (Horn)</t>
        </is>
      </c>
      <c r="H103" t="inlineStr">
        <is>
          <t>Coolheaded, Roughrider, Seasoned Traveller, Sturdy</t>
        </is>
      </c>
      <c r="I103" t="inlineStr">
        <is>
          <t>Destrier, Melee Weapon (Any), Lance, Plate Armour, Sword</t>
        </is>
      </c>
      <c r="J103" t="inlineStr">
        <is>
          <t>|Animal Care|Athletics|Charm Animal|Cool|Heal|Lore (Heraldry)|Melee (Basic)|Melee (Cavalry)|Ride (Horse)|Trade (Farrier)|Dodge|Endurance|Intimidate|Language (Battle)|Melee (any)|Play (Horn)|</t>
        </is>
      </c>
      <c r="K103" t="inlineStr">
        <is>
          <t>|Etiquette (Nobles)|Etiquette (Soldiers)|Noble Blood|Strike Mighty Blow|Warrior Born|Coolheaded|Roughrider|Seasoned Traveller|Sturdy|</t>
        </is>
      </c>
      <c r="L103" t="inlineStr">
        <is>
          <t>Thundering into battle on a heavy charger, you dominate the field, spreading fear amongst your foes.</t>
        </is>
      </c>
      <c r="M103" t="inlineStr">
        <is>
          <t>Melee (Cavalry)</t>
        </is>
      </c>
      <c r="N103" t="inlineStr">
        <is>
          <t>High Elf, Human, Wood Elf</t>
        </is>
      </c>
      <c r="O103" t="n">
        <v>70</v>
      </c>
      <c r="P103" t="n">
        <v>1</v>
      </c>
      <c r="R103" t="n">
        <v>1</v>
      </c>
      <c r="S103" t="n">
        <v>2</v>
      </c>
      <c r="U103" t="n">
        <v>1</v>
      </c>
      <c r="X103" t="n">
        <v>3</v>
      </c>
      <c r="Y103" t="n">
        <v>4</v>
      </c>
    </row>
    <row r="104">
      <c r="A104" t="inlineStr">
        <is>
          <t>Knight|3</t>
        </is>
      </c>
      <c r="B104" t="inlineStr">
        <is>
          <t>Knight</t>
        </is>
      </c>
      <c r="C104" t="n">
        <v>3</v>
      </c>
      <c r="D104" t="inlineStr">
        <is>
          <t>Warrior</t>
        </is>
      </c>
      <c r="E104" t="inlineStr">
        <is>
          <t>First Knight</t>
        </is>
      </c>
      <c r="F104" t="inlineStr">
        <is>
          <t>Gold 2</t>
        </is>
      </c>
      <c r="G104" t="inlineStr">
        <is>
          <t>Charm, Leadership, Lore (Warfare), Ranged (Blackpowder)</t>
        </is>
      </c>
      <c r="H104" t="inlineStr">
        <is>
          <t>Fearless (Any One), Stout-hearted, Unshakeable, War Leader</t>
        </is>
      </c>
      <c r="I104" t="inlineStr">
        <is>
          <t>Barding, Small Unit of Knights</t>
        </is>
      </c>
      <c r="J104" t="inlineStr">
        <is>
          <t>|Animal Care|Athletics|Charm Animal|Cool|Heal|Lore (Heraldry)|Melee (Basic)|Melee (Cavalry)|Ride (Horse)|Trade (Farrier)|Dodge|Endurance|Intimidate|Language (Battle)|Melee (any)|Play (Horn)|Charm|Leadership|Lore (Warfare)|Ranged (Blackpowder)|</t>
        </is>
      </c>
      <c r="K104" t="inlineStr">
        <is>
          <t>|Etiquette (Nobles)|Etiquette (Soldiers)|Noble Blood|Strike Mighty Blow|Warrior Born|Coolheaded|Roughrider|Seasoned Traveller|Sturdy|Fearless (any)|Stout-hearted|Unshakeable|War Leader|</t>
        </is>
      </c>
      <c r="L104" t="inlineStr">
        <is>
          <t>Thundering into battle on a heavy charger, you dominate the field, spreading fear amongst your foes.</t>
        </is>
      </c>
      <c r="M104" t="inlineStr">
        <is>
          <t>Melee (Cavalry)</t>
        </is>
      </c>
      <c r="N104" t="inlineStr">
        <is>
          <t>High Elf, Human, Wood Elf</t>
        </is>
      </c>
      <c r="O104" t="n">
        <v>70</v>
      </c>
      <c r="P104" t="n">
        <v>1</v>
      </c>
      <c r="R104" t="n">
        <v>1</v>
      </c>
      <c r="S104" t="n">
        <v>2</v>
      </c>
      <c r="U104" t="n">
        <v>1</v>
      </c>
      <c r="X104" t="n">
        <v>3</v>
      </c>
      <c r="Y104" t="n">
        <v>4</v>
      </c>
    </row>
    <row r="105">
      <c r="A105" t="inlineStr">
        <is>
          <t>Knight|4</t>
        </is>
      </c>
      <c r="B105" t="inlineStr">
        <is>
          <t>Knight</t>
        </is>
      </c>
      <c r="C105" t="n">
        <v>4</v>
      </c>
      <c r="D105" t="inlineStr">
        <is>
          <t>Warrior</t>
        </is>
      </c>
      <c r="E105" t="inlineStr">
        <is>
          <t>Knight of the Inner Circle</t>
        </is>
      </c>
      <c r="F105" t="inlineStr">
        <is>
          <t>Gold 4</t>
        </is>
      </c>
      <c r="G105" t="inlineStr">
        <is>
          <t>Lore (Any One), Secret Signs (Knightly Order)</t>
        </is>
      </c>
      <c r="H105" t="inlineStr">
        <is>
          <t>Inspiring, Iron Will, Read/Write, Strike to Injure</t>
        </is>
      </c>
      <c r="I105" t="inlineStr">
        <is>
          <t>Large Unit of Knights or Several Small Units of Knights, Plumed Great Helm, Squire</t>
        </is>
      </c>
      <c r="J105" t="inlineStr">
        <is>
          <t>|Animal Care|Athletics|Charm Animal|Cool|Heal|Lore (Heraldry)|Melee (Basic)|Melee (Cavalry)|Ride (Horse)|Trade (Farrier)|Dodge|Endurance|Intimidate|Language (Battle)|Melee (any)|Play (Horn)|Charm|Leadership|Lore (Warfare)|Ranged (Blackpowder)|Lore (any)|Secret Signs (Knightly Order)|</t>
        </is>
      </c>
      <c r="K105" t="inlineStr">
        <is>
          <t>|Etiquette (Nobles)|Etiquette (Soldiers)|Noble Blood|Strike Mighty Blow|Warrior Born|Coolheaded|Roughrider|Seasoned Traveller|Sturdy|Fearless (any)|Stout-hearted|Unshakeable|War Leader|Inspiring|Iron Will|Read/Write|Strike to Injure|</t>
        </is>
      </c>
      <c r="L105" t="inlineStr">
        <is>
          <t>Thundering into battle on a heavy charger, you dominate the field, spreading fear amongst your foes.</t>
        </is>
      </c>
      <c r="M105" t="inlineStr">
        <is>
          <t>Melee (Cavalry)</t>
        </is>
      </c>
      <c r="N105" t="inlineStr">
        <is>
          <t>High Elf, Human, Wood Elf</t>
        </is>
      </c>
      <c r="O105" t="n">
        <v>70</v>
      </c>
      <c r="P105" t="n">
        <v>1</v>
      </c>
      <c r="R105" t="n">
        <v>1</v>
      </c>
      <c r="S105" t="n">
        <v>2</v>
      </c>
      <c r="U105" t="n">
        <v>1</v>
      </c>
      <c r="X105" t="n">
        <v>3</v>
      </c>
      <c r="Y105" t="n">
        <v>4</v>
      </c>
    </row>
    <row r="106">
      <c r="A106" t="inlineStr">
        <is>
          <t>Lawyer|1</t>
        </is>
      </c>
      <c r="B106" t="inlineStr">
        <is>
          <t>Lawyer</t>
        </is>
      </c>
      <c r="C106" t="n">
        <v>1</v>
      </c>
      <c r="D106" t="inlineStr">
        <is>
          <t>Academic</t>
        </is>
      </c>
      <c r="E106" t="inlineStr">
        <is>
          <t>Student Lawyer</t>
        </is>
      </c>
      <c r="F106" t="inlineStr">
        <is>
          <t>Brass 4</t>
        </is>
      </c>
      <c r="G106" t="inlineStr">
        <is>
          <t>Bribery, Charm, Consume Alcohol, Entertain (Storytelling), Gossip, Intuition, Language (Classical), Lore (Law), Lore (Theology), Research</t>
        </is>
      </c>
      <c r="H106" t="inlineStr">
        <is>
          <t>Blather, Etiquette (Scholars), Read/Write, Speedreader</t>
        </is>
      </c>
      <c r="I106" t="inlineStr">
        <is>
          <t>Book (Law), Magnifying Glass</t>
        </is>
      </c>
      <c r="J106" t="inlineStr">
        <is>
          <t>|Bribery|Charm|Consume Alcohol|Entertain (Storytelling)|Gossip|Intuition|Language (Classical)|Lore (Law)|Lore (Theology)|Research|</t>
        </is>
      </c>
      <c r="K106" t="inlineStr">
        <is>
          <t>|Blather|Etiquette (Scholars)|Read/Write|Speedreader|</t>
        </is>
      </c>
      <c r="L106" t="inlineStr">
        <is>
          <t>You navigate the Empire's convoluted legal systems, defending clients and prosecuting the accused.</t>
        </is>
      </c>
      <c r="M106" t="inlineStr">
        <is>
          <t>Lore (Law)</t>
        </is>
      </c>
      <c r="N106" t="inlineStr">
        <is>
          <t>Dwarf, Halfling, High Elf, Human</t>
        </is>
      </c>
      <c r="O106" t="n">
        <v>71</v>
      </c>
      <c r="S106" t="n">
        <v>4</v>
      </c>
      <c r="T106" t="n">
        <v>1</v>
      </c>
      <c r="V106" t="n">
        <v>3</v>
      </c>
      <c r="W106" t="n">
        <v>1</v>
      </c>
      <c r="X106" t="n">
        <v>2</v>
      </c>
      <c r="Y106" t="n">
        <v>1</v>
      </c>
    </row>
    <row r="107">
      <c r="A107" t="inlineStr">
        <is>
          <t>Lawyer|2</t>
        </is>
      </c>
      <c r="B107" t="inlineStr">
        <is>
          <t>Lawyer</t>
        </is>
      </c>
      <c r="C107" t="n">
        <v>2</v>
      </c>
      <c r="D107" t="inlineStr">
        <is>
          <t>Academic</t>
        </is>
      </c>
      <c r="E107" t="inlineStr">
        <is>
          <t>Lawyer</t>
        </is>
      </c>
      <c r="F107" t="inlineStr">
        <is>
          <t>Silver 3</t>
        </is>
      </c>
      <c r="G107" t="inlineStr">
        <is>
          <t>Cool, Haggle, Intimidate, Language (Guilder), Lore (Local), Secret Signs (Guilder)</t>
        </is>
      </c>
      <c r="H107" t="inlineStr">
        <is>
          <t>Argumentative, Briber, Etiquette (Criminals), Etiquette (Guilder)</t>
        </is>
      </c>
      <c r="I107" t="inlineStr">
        <is>
          <t>Court Robes, Guild Licence, Writing Kit</t>
        </is>
      </c>
      <c r="J107" t="inlineStr">
        <is>
          <t>|Bribery|Charm|Consume Alcohol|Entertain (Storytelling)|Gossip|Intuition|Language (Classical)|Lore (Law)|Lore (Theology)|Research|Cool|Haggle|Intimidate|Language (Guilder)|Lore (Local)|Secret Signs (Guilder)|</t>
        </is>
      </c>
      <c r="K107" t="inlineStr">
        <is>
          <t>|Blather|Etiquette (Scholars)|Read/Write|Speedreader|Argumentative|Briber|Etiquette (Criminals)|Etiquette (Guilder)|</t>
        </is>
      </c>
      <c r="L107" t="inlineStr">
        <is>
          <t>You navigate the Empire's convoluted legal systems, defending clients and prosecuting the accused.</t>
        </is>
      </c>
      <c r="M107" t="inlineStr">
        <is>
          <t>Lore (Law)</t>
        </is>
      </c>
      <c r="N107" t="inlineStr">
        <is>
          <t>Dwarf, Halfling, High Elf, Human</t>
        </is>
      </c>
      <c r="O107" t="n">
        <v>71</v>
      </c>
      <c r="S107" t="n">
        <v>4</v>
      </c>
      <c r="T107" t="n">
        <v>1</v>
      </c>
      <c r="V107" t="n">
        <v>3</v>
      </c>
      <c r="W107" t="n">
        <v>1</v>
      </c>
      <c r="X107" t="n">
        <v>2</v>
      </c>
      <c r="Y107" t="n">
        <v>1</v>
      </c>
    </row>
    <row r="108">
      <c r="A108" t="inlineStr">
        <is>
          <t>Lawyer|3</t>
        </is>
      </c>
      <c r="B108" t="inlineStr">
        <is>
          <t>Lawyer</t>
        </is>
      </c>
      <c r="C108" t="n">
        <v>3</v>
      </c>
      <c r="D108" t="inlineStr">
        <is>
          <t>Academic</t>
        </is>
      </c>
      <c r="E108" t="inlineStr">
        <is>
          <t>Barrister</t>
        </is>
      </c>
      <c r="F108" t="inlineStr">
        <is>
          <t>Gold 1</t>
        </is>
      </c>
      <c r="G108" t="inlineStr">
        <is>
          <t>Art (Writing), Entertain (Speeches), Lore (Politics), Perception</t>
        </is>
      </c>
      <c r="H108" t="inlineStr">
        <is>
          <t>Cat-tongued, Impassioned Zeal, Menacing, Savant (Law)</t>
        </is>
      </c>
      <c r="I108" t="inlineStr">
        <is>
          <t>Assistant (Student or Servant), Office</t>
        </is>
      </c>
      <c r="J108" t="inlineStr">
        <is>
          <t>|Bribery|Charm|Consume Alcohol|Entertain (Storytelling)|Gossip|Intuition|Language (Classical)|Lore (Law)|Lore (Theology)|Research|Cool|Haggle|Intimidate|Language (Guilder)|Lore (Local)|Secret Signs (Guilder)|Art (Writing)|Entertain (Speeches)|Lore (Politics)|Perception|</t>
        </is>
      </c>
      <c r="K108" t="inlineStr">
        <is>
          <t>|Blather|Etiquette (Scholars)|Read/Write|Speedreader|Argumentative|Briber|Etiquette (Criminals)|Etiquette (Guilder)|Cat-tongued|Impassioned Zeal|Menacing|Savant (Law)|</t>
        </is>
      </c>
      <c r="L108" t="inlineStr">
        <is>
          <t>You navigate the Empire's convoluted legal systems, defending clients and prosecuting the accused.</t>
        </is>
      </c>
      <c r="M108" t="inlineStr">
        <is>
          <t>Lore (Law)</t>
        </is>
      </c>
      <c r="N108" t="inlineStr">
        <is>
          <t>Dwarf, Halfling, High Elf, Human</t>
        </is>
      </c>
      <c r="O108" t="n">
        <v>71</v>
      </c>
      <c r="S108" t="n">
        <v>4</v>
      </c>
      <c r="T108" t="n">
        <v>1</v>
      </c>
      <c r="V108" t="n">
        <v>3</v>
      </c>
      <c r="W108" t="n">
        <v>1</v>
      </c>
      <c r="X108" t="n">
        <v>2</v>
      </c>
      <c r="Y108" t="n">
        <v>1</v>
      </c>
    </row>
    <row r="109">
      <c r="A109" t="inlineStr">
        <is>
          <t>Lawyer|4</t>
        </is>
      </c>
      <c r="B109" t="inlineStr">
        <is>
          <t>Lawyer</t>
        </is>
      </c>
      <c r="C109" t="n">
        <v>4</v>
      </c>
      <c r="D109" t="inlineStr">
        <is>
          <t>Academic</t>
        </is>
      </c>
      <c r="E109" t="inlineStr">
        <is>
          <t>Judge</t>
        </is>
      </c>
      <c r="F109" t="inlineStr">
        <is>
          <t>Gold 2</t>
        </is>
      </c>
      <c r="G109" t="inlineStr">
        <is>
          <t>Leadership, Lore (Any One)</t>
        </is>
      </c>
      <c r="H109" t="inlineStr">
        <is>
          <t>Bookish, Commanding Presence, Master Orator, Savvy</t>
        </is>
      </c>
      <c r="I109" t="inlineStr">
        <is>
          <t>Gavel, Ostentatious Wig</t>
        </is>
      </c>
      <c r="J109" t="inlineStr">
        <is>
          <t>|Bribery|Charm|Consume Alcohol|Entertain (Storytelling)|Gossip|Intuition|Language (Classical)|Lore (Law)|Lore (Theology)|Research|Cool|Haggle|Intimidate|Language (Guilder)|Lore (Local)|Secret Signs (Guilder)|Art (Writing)|Entertain (Speeches)|Lore (Politics)|Perception|Leadership|Lore (any)|</t>
        </is>
      </c>
      <c r="K109" t="inlineStr">
        <is>
          <t>|Blather|Etiquette (Scholars)|Read/Write|Speedreader|Argumentative|Briber|Etiquette (Criminals)|Etiquette (Guilder)|Cat-tongued|Impassioned Zeal|Menacing|Savant (Law)|Bookish|Commanding Presence|Master Orator|Savvy|</t>
        </is>
      </c>
      <c r="L109" t="inlineStr">
        <is>
          <t>You navigate the Empire's convoluted legal systems, defending clients and prosecuting the accused.</t>
        </is>
      </c>
      <c r="M109" t="inlineStr">
        <is>
          <t>Lore (Law)</t>
        </is>
      </c>
      <c r="N109" t="inlineStr">
        <is>
          <t>Dwarf, Halfling, High Elf, Human</t>
        </is>
      </c>
      <c r="O109" t="n">
        <v>71</v>
      </c>
      <c r="S109" t="n">
        <v>4</v>
      </c>
      <c r="T109" t="n">
        <v>1</v>
      </c>
      <c r="V109" t="n">
        <v>3</v>
      </c>
      <c r="W109" t="n">
        <v>1</v>
      </c>
      <c r="X109" t="n">
        <v>2</v>
      </c>
      <c r="Y109" t="n">
        <v>1</v>
      </c>
    </row>
    <row r="110">
      <c r="A110" t="inlineStr">
        <is>
          <t>Merchant|1</t>
        </is>
      </c>
      <c r="B110" t="inlineStr">
        <is>
          <t>Merchant</t>
        </is>
      </c>
      <c r="C110" t="n">
        <v>1</v>
      </c>
      <c r="D110" t="inlineStr">
        <is>
          <t>Burgher</t>
        </is>
      </c>
      <c r="E110" t="inlineStr">
        <is>
          <t>Trader</t>
        </is>
      </c>
      <c r="F110" t="inlineStr">
        <is>
          <t>Silver 2</t>
        </is>
      </c>
      <c r="G110" t="inlineStr">
        <is>
          <t>Animal Care, Bribery, Charm Animal, Consume Alcohol, Drive, Evaluate, Gossip, Haggle, Intuition, Navigation</t>
        </is>
      </c>
      <c r="H110" t="inlineStr">
        <is>
          <t>Blather, Dealmaker, Read/Write, Suave</t>
        </is>
      </c>
      <c r="I110" t="inlineStr">
        <is>
          <t>Abacus, Canvas Tarpaulin, Mule and Cart, 3d10 Shillings</t>
        </is>
      </c>
      <c r="J110" t="inlineStr">
        <is>
          <t>|Animal Care|Bribery|Charm Animal|Consume Alcohol|Drive|Evaluate|Gossip|Haggle|Intuition|Navigation|</t>
        </is>
      </c>
      <c r="K110" t="inlineStr">
        <is>
          <t>|Blather|Dealmaker|Read/Write|Suave|</t>
        </is>
      </c>
      <c r="L110" t="inlineStr">
        <is>
          <t>Shrewd and numerate, you buy low to sell high, hoping to make your fortune.</t>
        </is>
      </c>
      <c r="M110" t="inlineStr">
        <is>
          <t>Haggle</t>
        </is>
      </c>
      <c r="N110" t="inlineStr">
        <is>
          <t>Dwarf, Halfling, High Elf, Human</t>
        </is>
      </c>
      <c r="O110" t="n">
        <v>72</v>
      </c>
      <c r="P110" t="n">
        <v>4</v>
      </c>
      <c r="T110" t="n">
        <v>3</v>
      </c>
      <c r="U110" t="n">
        <v>1</v>
      </c>
      <c r="W110" t="n">
        <v>1</v>
      </c>
      <c r="X110" t="n">
        <v>2</v>
      </c>
      <c r="Y110" t="n">
        <v>1</v>
      </c>
    </row>
    <row r="111">
      <c r="A111" t="inlineStr">
        <is>
          <t>Merchant|2</t>
        </is>
      </c>
      <c r="B111" t="inlineStr">
        <is>
          <t>Merchant</t>
        </is>
      </c>
      <c r="C111" t="n">
        <v>2</v>
      </c>
      <c r="D111" t="inlineStr">
        <is>
          <t>Burgher</t>
        </is>
      </c>
      <c r="E111" t="inlineStr">
        <is>
          <t>Merchant</t>
        </is>
      </c>
      <c r="F111" t="inlineStr">
        <is>
          <t>Silver 5</t>
        </is>
      </c>
      <c r="G111" t="inlineStr">
        <is>
          <t>Charm, Gamble, Language (Any One), Language (Guilder), Lore (Local), Secret Signs (Guilder)</t>
        </is>
      </c>
      <c r="H111" t="inlineStr">
        <is>
          <t>Briber, Embezzle, Etiquette (Guilder), Savvy</t>
        </is>
      </c>
      <c r="I111" t="inlineStr">
        <is>
          <t>Barge or 2 Wagons, 20 GC, Guild Licence</t>
        </is>
      </c>
      <c r="J111" t="inlineStr">
        <is>
          <t>|Animal Care|Bribery|Charm Animal|Consume Alcohol|Drive|Evaluate|Gossip|Haggle|Intuition|Navigation|Charm|Gamble|Language (any)|Language (Guilder)|Lore (Local)|Secret Signs (Guilder)|</t>
        </is>
      </c>
      <c r="K111" t="inlineStr">
        <is>
          <t>|Blather|Dealmaker|Read/Write|Suave|Briber|Embezzle|Etiquette (Guilder)|Savvy|</t>
        </is>
      </c>
      <c r="L111" t="inlineStr">
        <is>
          <t>Shrewd and numerate, you buy low to sell high, hoping to make your fortune.</t>
        </is>
      </c>
      <c r="M111" t="inlineStr">
        <is>
          <t>Haggle</t>
        </is>
      </c>
      <c r="N111" t="inlineStr">
        <is>
          <t>Dwarf, Halfling, High Elf, Human</t>
        </is>
      </c>
      <c r="O111" t="n">
        <v>72</v>
      </c>
      <c r="P111" t="n">
        <v>4</v>
      </c>
      <c r="T111" t="n">
        <v>3</v>
      </c>
      <c r="U111" t="n">
        <v>1</v>
      </c>
      <c r="W111" t="n">
        <v>1</v>
      </c>
      <c r="X111" t="n">
        <v>2</v>
      </c>
      <c r="Y111" t="n">
        <v>1</v>
      </c>
    </row>
    <row r="112">
      <c r="A112" t="inlineStr">
        <is>
          <t>Merchant|3</t>
        </is>
      </c>
      <c r="B112" t="inlineStr">
        <is>
          <t>Merchant</t>
        </is>
      </c>
      <c r="C112" t="n">
        <v>3</v>
      </c>
      <c r="D112" t="inlineStr">
        <is>
          <t>Burgher</t>
        </is>
      </c>
      <c r="E112" t="inlineStr">
        <is>
          <t>Master Merchant</t>
        </is>
      </c>
      <c r="F112" t="inlineStr">
        <is>
          <t>Gold 1</t>
        </is>
      </c>
      <c r="G112" t="inlineStr">
        <is>
          <t>Cool, Language (Any), Language (Classical), Leadership</t>
        </is>
      </c>
      <c r="H112" t="inlineStr">
        <is>
          <t>Cat-tongued, Etiquette (Any One), Numismatics, Super Numerate</t>
        </is>
      </c>
      <c r="I112" t="inlineStr">
        <is>
          <t>100 GC, Townhouse with Servants, Warehouse</t>
        </is>
      </c>
      <c r="J112" t="inlineStr">
        <is>
          <t>|Animal Care|Bribery|Charm Animal|Consume Alcohol|Drive|Evaluate|Gossip|Haggle|Intuition|Navigation|Charm|Gamble|Language (any)|Language (Guilder)|Lore (Local)|Secret Signs (Guilder)|Cool|Language (Classical)|Leadership|</t>
        </is>
      </c>
      <c r="K112" t="inlineStr">
        <is>
          <t>|Blather|Dealmaker|Read/Write|Suave|Briber|Embezzle|Etiquette (Guilder)|Savvy|Cat-tongued|Etiquette (any)|Numismatics|Super Numerate|</t>
        </is>
      </c>
      <c r="L112" t="inlineStr">
        <is>
          <t>Shrewd and numerate, you buy low to sell high, hoping to make your fortune.</t>
        </is>
      </c>
      <c r="M112" t="inlineStr">
        <is>
          <t>Haggle</t>
        </is>
      </c>
      <c r="N112" t="inlineStr">
        <is>
          <t>Dwarf, Halfling, High Elf, Human</t>
        </is>
      </c>
      <c r="O112" t="n">
        <v>72</v>
      </c>
      <c r="P112" t="n">
        <v>4</v>
      </c>
      <c r="T112" t="n">
        <v>3</v>
      </c>
      <c r="U112" t="n">
        <v>1</v>
      </c>
      <c r="W112" t="n">
        <v>1</v>
      </c>
      <c r="X112" t="n">
        <v>2</v>
      </c>
      <c r="Y112" t="n">
        <v>1</v>
      </c>
    </row>
    <row r="113">
      <c r="A113" t="inlineStr">
        <is>
          <t>Merchant|4</t>
        </is>
      </c>
      <c r="B113" t="inlineStr">
        <is>
          <t>Merchant</t>
        </is>
      </c>
      <c r="C113" t="n">
        <v>4</v>
      </c>
      <c r="D113" t="inlineStr">
        <is>
          <t>Burgher</t>
        </is>
      </c>
      <c r="E113" t="inlineStr">
        <is>
          <t>Merchant Prince</t>
        </is>
      </c>
      <c r="F113" t="inlineStr">
        <is>
          <t>Gold 3</t>
        </is>
      </c>
      <c r="G113" t="inlineStr">
        <is>
          <t>Lore (Any One), Intimidate</t>
        </is>
      </c>
      <c r="H113" t="inlineStr">
        <is>
          <t>Iron Will, Luck, Schemer, Wealthy</t>
        </is>
      </c>
      <c r="I113" t="inlineStr">
        <is>
          <t>2 Barges and 4 Wagons, Large Town Estate, 1000 GC, Quality Clothing, 2 Warehouses</t>
        </is>
      </c>
      <c r="J113" t="inlineStr">
        <is>
          <t>|Animal Care|Bribery|Charm Animal|Consume Alcohol|Drive|Evaluate|Gossip|Haggle|Intuition|Navigation|Charm|Gamble|Language (any)|Language (Guilder)|Lore (Local)|Secret Signs (Guilder)|Cool|Language (Classical)|Leadership|Lore (any)|Intimidate|</t>
        </is>
      </c>
      <c r="K113" t="inlineStr">
        <is>
          <t>|Blather|Dealmaker|Read/Write|Suave|Briber|Embezzle|Etiquette (Guilder)|Savvy|Cat-tongued|Etiquette (any)|Numismatics|Super Numerate|Iron Will|Luck|Schemer|Wealthy|</t>
        </is>
      </c>
      <c r="L113" t="inlineStr">
        <is>
          <t>Shrewd and numerate, you buy low to sell high, hoping to make your fortune.</t>
        </is>
      </c>
      <c r="M113" t="inlineStr">
        <is>
          <t>Haggle</t>
        </is>
      </c>
      <c r="N113" t="inlineStr">
        <is>
          <t>Dwarf, Halfling, High Elf, Human</t>
        </is>
      </c>
      <c r="O113" t="n">
        <v>72</v>
      </c>
      <c r="P113" t="n">
        <v>4</v>
      </c>
      <c r="T113" t="n">
        <v>3</v>
      </c>
      <c r="U113" t="n">
        <v>1</v>
      </c>
      <c r="W113" t="n">
        <v>1</v>
      </c>
      <c r="X113" t="n">
        <v>2</v>
      </c>
      <c r="Y113" t="n">
        <v>1</v>
      </c>
    </row>
    <row r="114">
      <c r="A114" t="inlineStr">
        <is>
          <t>Messenger|1</t>
        </is>
      </c>
      <c r="B114" t="inlineStr">
        <is>
          <t>Messenger</t>
        </is>
      </c>
      <c r="C114" t="n">
        <v>1</v>
      </c>
      <c r="D114" t="inlineStr">
        <is>
          <t>Ranger</t>
        </is>
      </c>
      <c r="E114" t="inlineStr">
        <is>
          <t>Runner</t>
        </is>
      </c>
      <c r="F114" t="inlineStr">
        <is>
          <t>Brass 3</t>
        </is>
      </c>
      <c r="G114" t="inlineStr">
        <is>
          <t>Athletics, Climb, Cool, Dodge, Endurance, Haggle, Melee (Basic), Navigation, Perception, Secret Signs (Ranger or Thief)</t>
        </is>
      </c>
      <c r="H114" t="inlineStr">
        <is>
          <t>Criminal, Flee!, Fleet-footed, Sprinter</t>
        </is>
      </c>
      <c r="I114" t="inlineStr">
        <is>
          <t>Scroll Case</t>
        </is>
      </c>
      <c r="J114" t="inlineStr">
        <is>
          <t>|Athletics|Climb|Cool|Dodge|Endurance|Haggle|Melee (Basic)|Navigation|Perception|Secret Signs (Ranger)|Secret Signs (Thief)|</t>
        </is>
      </c>
      <c r="K114" t="inlineStr">
        <is>
          <t>|Criminal|Flee!|Fleet-footed|Sprinter|</t>
        </is>
      </c>
      <c r="L114" t="inlineStr">
        <is>
          <t>Swift and sure-footed, nothing stops you delivering your messages on time.</t>
        </is>
      </c>
      <c r="M114" t="inlineStr">
        <is>
          <t>Endurance</t>
        </is>
      </c>
      <c r="N114" t="inlineStr">
        <is>
          <t>Dwarf, Halfling, High Elf, Human, Wood Elf</t>
        </is>
      </c>
      <c r="O114" t="n">
        <v>73</v>
      </c>
      <c r="P114" t="n">
        <v>4</v>
      </c>
      <c r="R114" t="n">
        <v>3</v>
      </c>
      <c r="S114" t="n">
        <v>1</v>
      </c>
      <c r="T114" t="n">
        <v>1</v>
      </c>
      <c r="U114" t="n">
        <v>1</v>
      </c>
      <c r="X114" t="n">
        <v>2</v>
      </c>
    </row>
    <row r="115">
      <c r="A115" t="inlineStr">
        <is>
          <t>Messenger|2</t>
        </is>
      </c>
      <c r="B115" t="inlineStr">
        <is>
          <t>Messenger</t>
        </is>
      </c>
      <c r="C115" t="n">
        <v>2</v>
      </c>
      <c r="D115" t="inlineStr">
        <is>
          <t>Ranger</t>
        </is>
      </c>
      <c r="E115" t="inlineStr">
        <is>
          <t>Messenger</t>
        </is>
      </c>
      <c r="F115" t="inlineStr">
        <is>
          <t>Silver 2</t>
        </is>
      </c>
      <c r="G115" t="inlineStr">
        <is>
          <t>Animal Care, Charm Animal, Lore (Local), Outdoor Survival, Ride (Horse), Swim</t>
        </is>
      </c>
      <c r="H115" t="inlineStr">
        <is>
          <t>Iron Will, Read/Write, Seasoned Traveller, Striding Gait (All)</t>
        </is>
      </c>
      <c r="I115" t="inlineStr">
        <is>
          <t>Hand Weapon, Leather Jack, Riding Horse</t>
        </is>
      </c>
      <c r="J115" t="inlineStr">
        <is>
          <t>|Athletics|Climb|Cool|Dodge|Endurance|Haggle|Melee (Basic)|Navigation|Perception|Secret Signs (Ranger)|Secret Signs (Thief)|Animal Care|Charm Animal|Lore (Local)|Outdoor Survival|Ride (Horse)|Swim|</t>
        </is>
      </c>
      <c r="K115" t="inlineStr">
        <is>
          <t>|Criminal|Flee!|Fleet-footed|Sprinter|Iron Will|Read/Write|Seasoned Traveller|Striding Gait (any)|</t>
        </is>
      </c>
      <c r="L115" t="inlineStr">
        <is>
          <t>Swift and sure-footed, nothing stops you delivering your messages on time.</t>
        </is>
      </c>
      <c r="M115" t="inlineStr">
        <is>
          <t>Endurance</t>
        </is>
      </c>
      <c r="N115" t="inlineStr">
        <is>
          <t>Dwarf, Halfling, High Elf, Human, Wood Elf</t>
        </is>
      </c>
      <c r="O115" t="n">
        <v>73</v>
      </c>
      <c r="P115" t="n">
        <v>4</v>
      </c>
      <c r="R115" t="n">
        <v>3</v>
      </c>
      <c r="S115" t="n">
        <v>1</v>
      </c>
      <c r="T115" t="n">
        <v>1</v>
      </c>
      <c r="U115" t="n">
        <v>1</v>
      </c>
      <c r="X115" t="n">
        <v>2</v>
      </c>
    </row>
    <row r="116">
      <c r="A116" t="inlineStr">
        <is>
          <t>Messenger|3</t>
        </is>
      </c>
      <c r="B116" t="inlineStr">
        <is>
          <t>Messenger</t>
        </is>
      </c>
      <c r="C116" t="n">
        <v>3</v>
      </c>
      <c r="D116" t="inlineStr">
        <is>
          <t>Ranger</t>
        </is>
      </c>
      <c r="E116" t="inlineStr">
        <is>
          <t>Courier</t>
        </is>
      </c>
      <c r="F116" t="inlineStr">
        <is>
          <t>Silver 3</t>
        </is>
      </c>
      <c r="G116" t="inlineStr">
        <is>
          <t>Charm, Consume Alcohol, Gossip, Lore (Geography)</t>
        </is>
      </c>
      <c r="H116" t="inlineStr">
        <is>
          <t>Nose for Trouble, Step Aside, Tenacious, Trick Rider</t>
        </is>
      </c>
      <c r="I116" t="inlineStr">
        <is>
          <t>Backpack, Saddlebags, Shield</t>
        </is>
      </c>
      <c r="J116" t="inlineStr">
        <is>
          <t>|Athletics|Climb|Cool|Dodge|Endurance|Haggle|Melee (Basic)|Navigation|Perception|Secret Signs (Ranger)|Secret Signs (Thief)|Animal Care|Charm Animal|Lore (Local)|Outdoor Survival|Ride (Horse)|Swim|Charm|Consume Alcohol|Gossip|Lore (Geography)|</t>
        </is>
      </c>
      <c r="K116" t="inlineStr">
        <is>
          <t>|Criminal|Flee!|Fleet-footed|Sprinter|Iron Will|Read/Write|Seasoned Traveller|Striding Gait (any)|Nose for Trouble|Step Aside|Tenacious|Trick Rider|</t>
        </is>
      </c>
      <c r="L116" t="inlineStr">
        <is>
          <t>Swift and sure-footed, nothing stops you delivering your messages on time.</t>
        </is>
      </c>
      <c r="M116" t="inlineStr">
        <is>
          <t>Endurance</t>
        </is>
      </c>
      <c r="N116" t="inlineStr">
        <is>
          <t>Dwarf, Halfling, High Elf, Human, Wood Elf</t>
        </is>
      </c>
      <c r="O116" t="n">
        <v>73</v>
      </c>
      <c r="P116" t="n">
        <v>4</v>
      </c>
      <c r="R116" t="n">
        <v>3</v>
      </c>
      <c r="S116" t="n">
        <v>1</v>
      </c>
      <c r="T116" t="n">
        <v>1</v>
      </c>
      <c r="U116" t="n">
        <v>1</v>
      </c>
      <c r="X116" t="n">
        <v>2</v>
      </c>
    </row>
    <row r="117">
      <c r="A117" t="inlineStr">
        <is>
          <t>Messenger|4</t>
        </is>
      </c>
      <c r="B117" t="inlineStr">
        <is>
          <t>Messenger</t>
        </is>
      </c>
      <c r="C117" t="n">
        <v>4</v>
      </c>
      <c r="D117" t="inlineStr">
        <is>
          <t>Ranger</t>
        </is>
      </c>
      <c r="E117" t="inlineStr">
        <is>
          <t>Courier-captain</t>
        </is>
      </c>
      <c r="F117" t="inlineStr">
        <is>
          <t>Silver 5</t>
        </is>
      </c>
      <c r="G117" t="inlineStr">
        <is>
          <t>Leadership, Research</t>
        </is>
      </c>
      <c r="H117" t="inlineStr">
        <is>
          <t>Dealmaker, Hatred (Outlaws), Orientation, Schemer</t>
        </is>
      </c>
      <c r="I117" t="inlineStr">
        <is>
          <t>Couriers, Mail Shirt, Writing Kit</t>
        </is>
      </c>
      <c r="J117" t="inlineStr">
        <is>
          <t>|Athletics|Climb|Cool|Dodge|Endurance|Haggle|Melee (Basic)|Navigation|Perception|Secret Signs (Ranger)|Secret Signs (Thief)|Animal Care|Charm Animal|Lore (Local)|Outdoor Survival|Ride (Horse)|Swim|Charm|Consume Alcohol|Gossip|Lore (Geography)|Leadership|Research|</t>
        </is>
      </c>
      <c r="K117" t="inlineStr">
        <is>
          <t>|Criminal|Flee!|Fleet-footed|Sprinter|Iron Will|Read/Write|Seasoned Traveller|Striding Gait (any)|Nose for Trouble|Step Aside|Tenacious|Trick Rider|Dealmaker|Hatred (Outlaws)|Orientation|Schemer|</t>
        </is>
      </c>
      <c r="L117" t="inlineStr">
        <is>
          <t>Swift and sure-footed, nothing stops you delivering your messages on time.</t>
        </is>
      </c>
      <c r="M117" t="inlineStr">
        <is>
          <t>Endurance</t>
        </is>
      </c>
      <c r="N117" t="inlineStr">
        <is>
          <t>Dwarf, Halfling, High Elf, Human, Wood Elf</t>
        </is>
      </c>
      <c r="O117" t="n">
        <v>73</v>
      </c>
      <c r="P117" t="n">
        <v>4</v>
      </c>
      <c r="R117" t="n">
        <v>3</v>
      </c>
      <c r="S117" t="n">
        <v>1</v>
      </c>
      <c r="T117" t="n">
        <v>1</v>
      </c>
      <c r="U117" t="n">
        <v>1</v>
      </c>
      <c r="X117" t="n">
        <v>2</v>
      </c>
    </row>
    <row r="118">
      <c r="A118" t="inlineStr">
        <is>
          <t>Miner|1</t>
        </is>
      </c>
      <c r="B118" t="inlineStr">
        <is>
          <t>Miner</t>
        </is>
      </c>
      <c r="C118" t="n">
        <v>1</v>
      </c>
      <c r="D118" t="inlineStr">
        <is>
          <t>Peasant</t>
        </is>
      </c>
      <c r="E118" t="inlineStr">
        <is>
          <t>Prospector</t>
        </is>
      </c>
      <c r="F118" t="inlineStr">
        <is>
          <t>Brass 2</t>
        </is>
      </c>
      <c r="G118" t="inlineStr">
        <is>
          <t>Climb, Cool, Endurance, Gossip, Lore (Local), Melee (Basic), Melee (Two-handed), Outdoor Survival, Perception, Secret Signs (Vagabond)</t>
        </is>
      </c>
      <c r="H118" t="inlineStr">
        <is>
          <t>Robust, Striding Gait (Rocky), Strong Back, Tenacious</t>
        </is>
      </c>
      <c r="I118" t="inlineStr">
        <is>
          <t>Charcoal Stick, Crude Map, Great Weapon (Two-handed Pick), Hand Weapon (Pick), Pan, Spade</t>
        </is>
      </c>
      <c r="J118" t="inlineStr">
        <is>
          <t>|Climb|Cool|Endurance|Gossip|Lore (Local)|Melee (Basic)|Melee (Two-handed)|Outdoor Survival|Perception|Secret Signs (Vagabond)|</t>
        </is>
      </c>
      <c r="K118" t="inlineStr">
        <is>
          <t>|Robust|Striding Gait (Rocky)|Strong Back|Tenacious|</t>
        </is>
      </c>
      <c r="L118" t="inlineStr">
        <is>
          <t>A hewer of stone, you pursue back-breaking work in the darkest depths of the world.</t>
        </is>
      </c>
      <c r="M118" t="inlineStr">
        <is>
          <t>Endurance</t>
        </is>
      </c>
      <c r="N118" t="inlineStr">
        <is>
          <t>Dwarf, Halfling, Human</t>
        </is>
      </c>
      <c r="O118" t="n">
        <v>74</v>
      </c>
      <c r="R118" t="n">
        <v>1</v>
      </c>
      <c r="S118" t="n">
        <v>1</v>
      </c>
      <c r="T118" t="n">
        <v>1</v>
      </c>
      <c r="V118" t="n">
        <v>3</v>
      </c>
      <c r="X118" t="n">
        <v>2</v>
      </c>
      <c r="Y118" t="n">
        <v>4</v>
      </c>
    </row>
    <row r="119">
      <c r="A119" t="inlineStr">
        <is>
          <t>Miner|2</t>
        </is>
      </c>
      <c r="B119" t="inlineStr">
        <is>
          <t>Miner</t>
        </is>
      </c>
      <c r="C119" t="n">
        <v>2</v>
      </c>
      <c r="D119" t="inlineStr">
        <is>
          <t>Peasant</t>
        </is>
      </c>
      <c r="E119" t="inlineStr">
        <is>
          <t>Miner</t>
        </is>
      </c>
      <c r="F119" t="inlineStr">
        <is>
          <t>Brass 3</t>
        </is>
      </c>
      <c r="G119" t="inlineStr">
        <is>
          <t>Consume Alcohol, Evaluate, Haggle, Secret Signs (Miner), Stealth (Underground), Trade (Explosives)</t>
        </is>
      </c>
      <c r="H119" t="inlineStr">
        <is>
          <t>Night Vision, Strike Mighty Blow, Sturdy, Very Strong</t>
        </is>
      </c>
      <c r="I119" t="inlineStr">
        <is>
          <t>Davrich Lamp, Lamp Oil, Leather Jack, Open Helm (Miner's Helm)</t>
        </is>
      </c>
      <c r="J119" t="inlineStr">
        <is>
          <t>|Climb|Cool|Endurance|Gossip|Lore (Local)|Melee (Basic)|Melee (Two-handed)|Outdoor Survival|Perception|Secret Signs (Vagabond)|Consume Alcohol|Evaluate|Haggle|Secret Signs (Miner)|Stealth (Underground)|Trade (Explosives)|</t>
        </is>
      </c>
      <c r="K119" t="inlineStr">
        <is>
          <t>|Robust|Striding Gait (Rocky)|Strong Back|Tenacious|Night Vision|Strike Mighty Blow|Sturdy|Very Strong|</t>
        </is>
      </c>
      <c r="L119" t="inlineStr">
        <is>
          <t>A hewer of stone, you pursue back-breaking work in the darkest depths of the world.</t>
        </is>
      </c>
      <c r="M119" t="inlineStr">
        <is>
          <t>Endurance</t>
        </is>
      </c>
      <c r="N119" t="inlineStr">
        <is>
          <t>Dwarf, Halfling, Human</t>
        </is>
      </c>
      <c r="O119" t="n">
        <v>74</v>
      </c>
      <c r="R119" t="n">
        <v>1</v>
      </c>
      <c r="S119" t="n">
        <v>1</v>
      </c>
      <c r="T119" t="n">
        <v>1</v>
      </c>
      <c r="V119" t="n">
        <v>3</v>
      </c>
      <c r="X119" t="n">
        <v>2</v>
      </c>
      <c r="Y119" t="n">
        <v>4</v>
      </c>
    </row>
    <row r="120">
      <c r="A120" t="inlineStr">
        <is>
          <t>Miner|3</t>
        </is>
      </c>
      <c r="B120" t="inlineStr">
        <is>
          <t>Miner</t>
        </is>
      </c>
      <c r="C120" t="n">
        <v>3</v>
      </c>
      <c r="D120" t="inlineStr">
        <is>
          <t>Peasant</t>
        </is>
      </c>
      <c r="E120" t="inlineStr">
        <is>
          <t>Master Miner</t>
        </is>
      </c>
      <c r="F120" t="inlineStr">
        <is>
          <t>Brass 5</t>
        </is>
      </c>
      <c r="G120" t="inlineStr">
        <is>
          <t>Intuition, Lore (Geology), Navigation, Trade (Engineer)</t>
        </is>
      </c>
      <c r="H120" t="inlineStr">
        <is>
          <t>Careful Strike, Craftsman (Explosives), Tinker, Tunnel Fighter</t>
        </is>
      </c>
      <c r="I120" t="inlineStr">
        <is>
          <t>Trade Tools (Engineer)</t>
        </is>
      </c>
      <c r="J120" t="inlineStr">
        <is>
          <t>|Climb|Cool|Endurance|Gossip|Lore (Local)|Melee (Basic)|Melee (Two-handed)|Outdoor Survival|Perception|Secret Signs (Vagabond)|Consume Alcohol|Evaluate|Haggle|Secret Signs (Miner)|Stealth (Underground)|Trade (Explosives)|Intuition|Lore (Geology)|Navigation|Trade (Engineer)|</t>
        </is>
      </c>
      <c r="K120" t="inlineStr">
        <is>
          <t>|Robust|Striding Gait (Rocky)|Strong Back|Tenacious|Night Vision|Strike Mighty Blow|Sturdy|Very Strong|Careful Strike|Craftsman (Explosives)|Tinker|Tunnel Fighter|</t>
        </is>
      </c>
      <c r="L120" t="inlineStr">
        <is>
          <t>A hewer of stone, you pursue back-breaking work in the darkest depths of the world.</t>
        </is>
      </c>
      <c r="M120" t="inlineStr">
        <is>
          <t>Endurance</t>
        </is>
      </c>
      <c r="N120" t="inlineStr">
        <is>
          <t>Dwarf, Halfling, Human</t>
        </is>
      </c>
      <c r="O120" t="n">
        <v>74</v>
      </c>
      <c r="R120" t="n">
        <v>1</v>
      </c>
      <c r="S120" t="n">
        <v>1</v>
      </c>
      <c r="T120" t="n">
        <v>1</v>
      </c>
      <c r="V120" t="n">
        <v>3</v>
      </c>
      <c r="X120" t="n">
        <v>2</v>
      </c>
      <c r="Y120" t="n">
        <v>4</v>
      </c>
    </row>
    <row r="121">
      <c r="A121" t="inlineStr">
        <is>
          <t>Miner|4</t>
        </is>
      </c>
      <c r="B121" t="inlineStr">
        <is>
          <t>Miner</t>
        </is>
      </c>
      <c r="C121" t="n">
        <v>4</v>
      </c>
      <c r="D121" t="inlineStr">
        <is>
          <t>Peasant</t>
        </is>
      </c>
      <c r="E121" t="inlineStr">
        <is>
          <t>Mine Foreman</t>
        </is>
      </c>
      <c r="F121" t="inlineStr">
        <is>
          <t>Silver 3</t>
        </is>
      </c>
      <c r="G121" t="inlineStr">
        <is>
          <t>Charm, Leadership</t>
        </is>
      </c>
      <c r="H121" t="inlineStr">
        <is>
          <t>Argumentative, Embezzle, Read/Write, Strong-minded</t>
        </is>
      </c>
      <c r="I121" t="inlineStr">
        <is>
          <t>Crew of Miners, Writing Kit</t>
        </is>
      </c>
      <c r="J121" t="inlineStr">
        <is>
          <t>|Climb|Cool|Endurance|Gossip|Lore (Local)|Melee (Basic)|Melee (Two-handed)|Outdoor Survival|Perception|Secret Signs (Vagabond)|Consume Alcohol|Evaluate|Haggle|Secret Signs (Miner)|Stealth (Underground)|Trade (Explosives)|Intuition|Lore (Geology)|Navigation|Trade (Engineer)|Charm|Leadership|</t>
        </is>
      </c>
      <c r="K121" t="inlineStr">
        <is>
          <t>|Robust|Striding Gait (Rocky)|Strong Back|Tenacious|Night Vision|Strike Mighty Blow|Sturdy|Very Strong|Careful Strike|Craftsman (Explosives)|Tinker|Tunnel Fighter|Argumentative|Embezzle|Read/Write|Strong-minded|</t>
        </is>
      </c>
      <c r="L121" t="inlineStr">
        <is>
          <t>A hewer of stone, you pursue back-breaking work in the darkest depths of the world.</t>
        </is>
      </c>
      <c r="M121" t="inlineStr">
        <is>
          <t>Endurance</t>
        </is>
      </c>
      <c r="N121" t="inlineStr">
        <is>
          <t>Dwarf, Halfling, Human</t>
        </is>
      </c>
      <c r="O121" t="n">
        <v>74</v>
      </c>
      <c r="R121" t="n">
        <v>1</v>
      </c>
      <c r="S121" t="n">
        <v>1</v>
      </c>
      <c r="T121" t="n">
        <v>1</v>
      </c>
      <c r="V121" t="n">
        <v>3</v>
      </c>
      <c r="X121" t="n">
        <v>2</v>
      </c>
      <c r="Y121" t="n">
        <v>4</v>
      </c>
    </row>
    <row r="122">
      <c r="A122" t="inlineStr">
        <is>
          <t>Mystic|1</t>
        </is>
      </c>
      <c r="B122" t="inlineStr">
        <is>
          <t>Mystic</t>
        </is>
      </c>
      <c r="C122" t="n">
        <v>1</v>
      </c>
      <c r="D122" t="inlineStr">
        <is>
          <t>Peasant</t>
        </is>
      </c>
      <c r="E122" t="inlineStr">
        <is>
          <t>Fortune Teller</t>
        </is>
      </c>
      <c r="F122" t="inlineStr">
        <is>
          <t>Brass 1</t>
        </is>
      </c>
      <c r="G122" t="inlineStr">
        <is>
          <t>Bribery, Charm, Dodge, Entertain (Fortune-telling), Gossip, Intuition, Lore (Astrology), Lore (Theology), Perception, Sleight of Hand</t>
        </is>
      </c>
      <c r="H122" t="inlineStr">
        <is>
          <t>Holy Visions, Luck, Second Sight, Suave</t>
        </is>
      </c>
      <c r="I122" t="inlineStr">
        <is>
          <t>Cheap Jewellery, Deck of Cards or Dice</t>
        </is>
      </c>
      <c r="J122" t="inlineStr">
        <is>
          <t>|Bribery|Charm|Dodge|Entertain (Fortune-telling)|Gossip|Intuition|Lore (Astrology)|Lore (Theology)|Perception|Sleight of Hand|</t>
        </is>
      </c>
      <c r="K122" t="inlineStr">
        <is>
          <t>|Holy Visions|Luck|Second Sight|Suave|</t>
        </is>
      </c>
      <c r="L122" t="inlineStr">
        <is>
          <t>You have a talent for divining the future, or for convincing others you can…</t>
        </is>
      </c>
      <c r="M122" t="inlineStr">
        <is>
          <t>Intuition</t>
        </is>
      </c>
      <c r="N122" t="inlineStr">
        <is>
          <t>High Elf, Human, Wood Elf</t>
        </is>
      </c>
      <c r="O122" t="n">
        <v>75</v>
      </c>
      <c r="Q122" t="n">
        <v>4</v>
      </c>
      <c r="T122" t="n">
        <v>1</v>
      </c>
      <c r="V122" t="n">
        <v>1</v>
      </c>
      <c r="W122" t="n">
        <v>2</v>
      </c>
      <c r="X122" t="n">
        <v>3</v>
      </c>
      <c r="Y122" t="n">
        <v>1</v>
      </c>
    </row>
    <row r="123">
      <c r="A123" t="inlineStr">
        <is>
          <t>Mystic|2</t>
        </is>
      </c>
      <c r="B123" t="inlineStr">
        <is>
          <t>Mystic</t>
        </is>
      </c>
      <c r="C123" t="n">
        <v>2</v>
      </c>
      <c r="D123" t="inlineStr">
        <is>
          <t>Peasant</t>
        </is>
      </c>
      <c r="E123" t="inlineStr">
        <is>
          <t>Mystic</t>
        </is>
      </c>
      <c r="F123" t="inlineStr">
        <is>
          <t>Brass 3</t>
        </is>
      </c>
      <c r="G123" t="inlineStr">
        <is>
          <t>Cool, Entertain (Storytelling), Evaluate, Haggle, Intimidate, Secret Signs (Vagabond)</t>
        </is>
      </c>
      <c r="H123" t="inlineStr">
        <is>
          <t>Detect Artefact, Sixth Sense, Supportive, Well-prepared</t>
        </is>
      </c>
      <c r="I123" t="inlineStr">
        <is>
          <t>Selection of Amulets</t>
        </is>
      </c>
      <c r="J123" t="inlineStr">
        <is>
          <t>|Bribery|Charm|Dodge|Entertain (Fortune-telling)|Gossip|Intuition|Lore (Astrology)|Lore (Theology)|Perception|Sleight of Hand|Cool|Entertain (Storytelling)|Evaluate|Haggle|Intimidate|Secret Signs (Vagabond)|</t>
        </is>
      </c>
      <c r="K123" t="inlineStr">
        <is>
          <t>|Holy Visions|Luck|Second Sight|Suave|Detect Artefact|Sixth Sense|Supportive|Well-prepared|</t>
        </is>
      </c>
      <c r="L123" t="inlineStr">
        <is>
          <t>You have a talent for divining the future, or for convincing others you can…</t>
        </is>
      </c>
      <c r="M123" t="inlineStr">
        <is>
          <t>Intuition</t>
        </is>
      </c>
      <c r="N123" t="inlineStr">
        <is>
          <t>High Elf, Human, Wood Elf</t>
        </is>
      </c>
      <c r="O123" t="n">
        <v>75</v>
      </c>
      <c r="Q123" t="n">
        <v>4</v>
      </c>
      <c r="T123" t="n">
        <v>1</v>
      </c>
      <c r="V123" t="n">
        <v>1</v>
      </c>
      <c r="W123" t="n">
        <v>2</v>
      </c>
      <c r="X123" t="n">
        <v>3</v>
      </c>
      <c r="Y123" t="n">
        <v>1</v>
      </c>
    </row>
    <row r="124">
      <c r="A124" t="inlineStr">
        <is>
          <t>Mystic|3</t>
        </is>
      </c>
      <c r="B124" t="inlineStr">
        <is>
          <t>Mystic</t>
        </is>
      </c>
      <c r="C124" t="n">
        <v>3</v>
      </c>
      <c r="D124" t="inlineStr">
        <is>
          <t>Peasant</t>
        </is>
      </c>
      <c r="E124" t="inlineStr">
        <is>
          <t>Auger</t>
        </is>
      </c>
      <c r="F124" t="inlineStr">
        <is>
          <t>Silver 1</t>
        </is>
      </c>
      <c r="G124" t="inlineStr">
        <is>
          <t>Art (Writing), Channelling (Azyr), Language (Magick), Lore (Magic)</t>
        </is>
      </c>
      <c r="H124" t="inlineStr">
        <is>
          <t>Magical Sense, Nose for Trouble, Petty Magic, Read/Write</t>
        </is>
      </c>
      <c r="I124" t="inlineStr">
        <is>
          <t>Writing Kit</t>
        </is>
      </c>
      <c r="J124" t="inlineStr">
        <is>
          <t>|Bribery|Charm|Dodge|Entertain (Fortune-telling)|Gossip|Intuition|Lore (Astrology)|Lore (Theology)|Perception|Sleight of Hand|Cool|Entertain (Storytelling)|Evaluate|Haggle|Intimidate|Secret Signs (Vagabond)|Art (Writing)|Channelling (Azyr)|Language (Magick)|Lore (Magic)|</t>
        </is>
      </c>
      <c r="K124" t="inlineStr">
        <is>
          <t>|Holy Visions|Luck|Second Sight|Suave|Detect Artefact|Sixth Sense|Supportive|Well-prepared|Magical Sense|Nose for Trouble|Petty Magic|Read/Write|</t>
        </is>
      </c>
      <c r="L124" t="inlineStr">
        <is>
          <t>You have a talent for divining the future, or for convincing others you can…</t>
        </is>
      </c>
      <c r="M124" t="inlineStr">
        <is>
          <t>Intuition</t>
        </is>
      </c>
      <c r="N124" t="inlineStr">
        <is>
          <t>High Elf, Human, Wood Elf</t>
        </is>
      </c>
      <c r="O124" t="n">
        <v>75</v>
      </c>
      <c r="Q124" t="n">
        <v>4</v>
      </c>
      <c r="T124" t="n">
        <v>1</v>
      </c>
      <c r="V124" t="n">
        <v>1</v>
      </c>
      <c r="W124" t="n">
        <v>2</v>
      </c>
      <c r="X124" t="n">
        <v>3</v>
      </c>
      <c r="Y124" t="n">
        <v>1</v>
      </c>
    </row>
    <row r="125">
      <c r="A125" t="inlineStr">
        <is>
          <t>Mystic|4</t>
        </is>
      </c>
      <c r="B125" t="inlineStr">
        <is>
          <t>Mystic</t>
        </is>
      </c>
      <c r="C125" t="n">
        <v>4</v>
      </c>
      <c r="D125" t="inlineStr">
        <is>
          <t>Peasant</t>
        </is>
      </c>
      <c r="E125" t="inlineStr">
        <is>
          <t>Seer</t>
        </is>
      </c>
      <c r="F125" t="inlineStr">
        <is>
          <t>Silver 2</t>
        </is>
      </c>
      <c r="G125" t="inlineStr">
        <is>
          <t>Charm Animal, Lore (Prophecy)</t>
        </is>
      </c>
      <c r="H125" t="inlineStr">
        <is>
          <t>Arcane Magic (Heavens), Menacing, Strong-minded, Witch!</t>
        </is>
      </c>
      <c r="I125" t="inlineStr">
        <is>
          <t>Trade Tools (Astrology)</t>
        </is>
      </c>
      <c r="J125" t="inlineStr">
        <is>
          <t>|Bribery|Charm|Dodge|Entertain (Fortune-telling)|Gossip|Intuition|Lore (Astrology)|Lore (Theology)|Perception|Sleight of Hand|Cool|Entertain (Storytelling)|Evaluate|Haggle|Intimidate|Secret Signs (Vagabond)|Art (Writing)|Channelling (Azyr)|Language (Magick)|Lore (Magic)|Charm Animal|Lore (Prophecy)|</t>
        </is>
      </c>
      <c r="K125" t="inlineStr">
        <is>
          <t>|Holy Visions|Luck|Second Sight|Suave|Detect Artefact|Sixth Sense|Supportive|Well-prepared|Magical Sense|Nose for Trouble|Petty Magic|Read/Write|Arcane Magic (Heavens)|Menacing|Strong-minded|Witch!|</t>
        </is>
      </c>
      <c r="L125" t="inlineStr">
        <is>
          <t>You have a talent for divining the future, or for convincing others you can…</t>
        </is>
      </c>
      <c r="M125" t="inlineStr">
        <is>
          <t>Intuition</t>
        </is>
      </c>
      <c r="N125" t="inlineStr">
        <is>
          <t>High Elf, Human, Wood Elf</t>
        </is>
      </c>
      <c r="O125" t="n">
        <v>75</v>
      </c>
      <c r="Q125" t="n">
        <v>4</v>
      </c>
      <c r="T125" t="n">
        <v>1</v>
      </c>
      <c r="V125" t="n">
        <v>1</v>
      </c>
      <c r="W125" t="n">
        <v>2</v>
      </c>
      <c r="X125" t="n">
        <v>3</v>
      </c>
      <c r="Y125" t="n">
        <v>1</v>
      </c>
    </row>
    <row r="126">
      <c r="A126" t="inlineStr">
        <is>
          <t>Noble|1</t>
        </is>
      </c>
      <c r="B126" t="inlineStr">
        <is>
          <t>Noble</t>
        </is>
      </c>
      <c r="C126" t="n">
        <v>1</v>
      </c>
      <c r="D126" t="inlineStr">
        <is>
          <t>Courtier</t>
        </is>
      </c>
      <c r="E126" t="inlineStr">
        <is>
          <t>Scion</t>
        </is>
      </c>
      <c r="F126" t="inlineStr">
        <is>
          <t>Gold 1</t>
        </is>
      </c>
      <c r="G126" t="inlineStr">
        <is>
          <t>Consume Alcohol, Gamble, Gossip, Intimidate, Language (Classical), Leadership, Lore (Heraldry), Melee (Fencing), Perform (Dancing), Ride (Horse)</t>
        </is>
      </c>
      <c r="H126" t="inlineStr">
        <is>
          <t>Etiquette (Nobles), Luck, Noble Blood, Read/Write</t>
        </is>
      </c>
      <c r="I126" t="inlineStr">
        <is>
          <t>Courtly Garb, Foil or Hand Mirror, Velvet Cloak, Jewellery worth 3d10 GC, Personal Servant</t>
        </is>
      </c>
      <c r="J126" t="inlineStr">
        <is>
          <t>|Consume Alcohol|Gamble|Gossip|Intimidate|Language (Classical)|Leadership|Lore (Heraldry)|Melee (Fencing)|Perform (Dancing)|Ride (Horse)|</t>
        </is>
      </c>
      <c r="K126" t="inlineStr">
        <is>
          <t>|Etiquette (Nobles)|Luck|Noble Blood|Read/Write|</t>
        </is>
      </c>
      <c r="L126" t="inlineStr">
        <is>
          <t>As the scion of a noble bloodline, you are set apart from the common rabble.</t>
        </is>
      </c>
      <c r="M126" t="inlineStr">
        <is>
          <t>Leadership</t>
        </is>
      </c>
      <c r="N126" t="inlineStr">
        <is>
          <t>Dwarf, Halfling, High Elf, Human, Wood Elf</t>
        </is>
      </c>
      <c r="O126" t="n">
        <v>76</v>
      </c>
      <c r="P126" t="n">
        <v>1</v>
      </c>
      <c r="T126" t="n">
        <v>4</v>
      </c>
      <c r="U126" t="n">
        <v>1</v>
      </c>
      <c r="W126" t="n">
        <v>2</v>
      </c>
      <c r="X126" t="n">
        <v>3</v>
      </c>
      <c r="Y126" t="n">
        <v>1</v>
      </c>
    </row>
    <row r="127">
      <c r="A127" t="inlineStr">
        <is>
          <t>Noble|2</t>
        </is>
      </c>
      <c r="B127" t="inlineStr">
        <is>
          <t>Noble</t>
        </is>
      </c>
      <c r="C127" t="n">
        <v>2</v>
      </c>
      <c r="D127" t="inlineStr">
        <is>
          <t>Courtier</t>
        </is>
      </c>
      <c r="E127" t="inlineStr">
        <is>
          <t>Noble</t>
        </is>
      </c>
      <c r="F127" t="inlineStr">
        <is>
          <t>Gold 2</t>
        </is>
      </c>
      <c r="G127" t="inlineStr">
        <is>
          <t>Bribery, Charm, Language (Any One), Lore (Politics), Melee (Parry) or Ranged (Blackpowder), Play (Any One)</t>
        </is>
      </c>
      <c r="H127" t="inlineStr">
        <is>
          <t>Briber, Carouser, Menacing, Suave</t>
        </is>
      </c>
      <c r="I127" t="inlineStr">
        <is>
          <t>Coach or Riding Horse, 4 Household Servants, Jewellery worth 50 GC, Main-gauche or Pistol with 10 Shots, Quality Courtly Garb</t>
        </is>
      </c>
      <c r="J127" t="inlineStr">
        <is>
          <t>|Consume Alcohol|Gamble|Gossip|Intimidate|Language (Classical)|Leadership|Lore (Heraldry)|Melee (Fencing)|Perform (Dancing)|Ride (Horse)|Bribery|Charm|Language (any)|Lore (Politics)|Melee (Parry)|Ranged (Blackpowder)|Play (any)|</t>
        </is>
      </c>
      <c r="K127" t="inlineStr">
        <is>
          <t>|Etiquette (Nobles)|Luck|Noble Blood|Read/Write|Briber|Carouser|Menacing|Suave|</t>
        </is>
      </c>
      <c r="L127" t="inlineStr">
        <is>
          <t>As the scion of a noble bloodline, you are set apart from the common rabble.</t>
        </is>
      </c>
      <c r="M127" t="inlineStr">
        <is>
          <t>Leadership</t>
        </is>
      </c>
      <c r="N127" t="inlineStr">
        <is>
          <t>Dwarf, Halfling, High Elf, Human, Wood Elf</t>
        </is>
      </c>
      <c r="O127" t="n">
        <v>76</v>
      </c>
      <c r="P127" t="n">
        <v>1</v>
      </c>
      <c r="T127" t="n">
        <v>4</v>
      </c>
      <c r="U127" t="n">
        <v>1</v>
      </c>
      <c r="W127" t="n">
        <v>2</v>
      </c>
      <c r="X127" t="n">
        <v>3</v>
      </c>
      <c r="Y127" t="n">
        <v>1</v>
      </c>
    </row>
    <row r="128">
      <c r="A128" t="inlineStr">
        <is>
          <t>Noble|3</t>
        </is>
      </c>
      <c r="B128" t="inlineStr">
        <is>
          <t>Noble</t>
        </is>
      </c>
      <c r="C128" t="n">
        <v>3</v>
      </c>
      <c r="D128" t="inlineStr">
        <is>
          <t>Courtier</t>
        </is>
      </c>
      <c r="E128" t="inlineStr">
        <is>
          <t>Grandee</t>
        </is>
      </c>
      <c r="F128" t="inlineStr">
        <is>
          <t>Gold 5</t>
        </is>
      </c>
      <c r="G128" t="inlineStr">
        <is>
          <t>Cool, Lore (Genealogy), Lore (Local), Lore (Warfare)</t>
        </is>
      </c>
      <c r="H128" t="inlineStr">
        <is>
          <t>Commanding Presence, Fearless (Paupers), Public Speaker, Schemer</t>
        </is>
      </c>
      <c r="I128" t="inlineStr">
        <is>
          <t>Fiefdom, 200 GC, Jewellery worth 200 GC, 2 sets of Quality Courtly Garb, Signet Ring</t>
        </is>
      </c>
      <c r="J128" t="inlineStr">
        <is>
          <t>|Consume Alcohol|Gamble|Gossip|Intimidate|Language (Classical)|Leadership|Lore (Heraldry)|Melee (Fencing)|Perform (Dancing)|Ride (Horse)|Bribery|Charm|Language (any)|Lore (Politics)|Melee (Parry)|Ranged (Blackpowder)|Play (any)|Cool|Lore (Genealogy)|Lore (Local)|Lore (Warfare)|</t>
        </is>
      </c>
      <c r="K128" t="inlineStr">
        <is>
          <t>|Etiquette (Nobles)|Luck|Noble Blood|Read/Write|Briber|Carouser|Menacing|Suave|Commanding Presence|Fearless (Paupers)|Public Speaker|Schemer|</t>
        </is>
      </c>
      <c r="L128" t="inlineStr">
        <is>
          <t>As the scion of a noble bloodline, you are set apart from the common rabble.</t>
        </is>
      </c>
      <c r="M128" t="inlineStr">
        <is>
          <t>Leadership</t>
        </is>
      </c>
      <c r="N128" t="inlineStr">
        <is>
          <t>Dwarf, Halfling, High Elf, Human, Wood Elf</t>
        </is>
      </c>
      <c r="O128" t="n">
        <v>76</v>
      </c>
      <c r="P128" t="n">
        <v>1</v>
      </c>
      <c r="T128" t="n">
        <v>4</v>
      </c>
      <c r="U128" t="n">
        <v>1</v>
      </c>
      <c r="W128" t="n">
        <v>2</v>
      </c>
      <c r="X128" t="n">
        <v>3</v>
      </c>
      <c r="Y128" t="n">
        <v>1</v>
      </c>
    </row>
    <row r="129">
      <c r="A129" t="inlineStr">
        <is>
          <t>Noble|4</t>
        </is>
      </c>
      <c r="B129" t="inlineStr">
        <is>
          <t>Noble</t>
        </is>
      </c>
      <c r="C129" t="n">
        <v>4</v>
      </c>
      <c r="D129" t="inlineStr">
        <is>
          <t>Courtier</t>
        </is>
      </c>
      <c r="E129" t="inlineStr">
        <is>
          <t>Noble Lord</t>
        </is>
      </c>
      <c r="F129" t="inlineStr">
        <is>
          <t>Gold 7</t>
        </is>
      </c>
      <c r="G129" t="inlineStr">
        <is>
          <t>Charm Animal, Intuition</t>
        </is>
      </c>
      <c r="H129" t="inlineStr">
        <is>
          <t>Coolheaded, Iron Will, War Leader, Wealthy</t>
        </is>
      </c>
      <c r="I129" t="inlineStr">
        <is>
          <t>500 GC, Jewellery worth 500 GC, Province</t>
        </is>
      </c>
      <c r="J129" t="inlineStr">
        <is>
          <t>|Consume Alcohol|Gamble|Gossip|Intimidate|Language (Classical)|Leadership|Lore (Heraldry)|Melee (Fencing)|Perform (Dancing)|Ride (Horse)|Bribery|Charm|Language (any)|Lore (Politics)|Melee (Parry)|Ranged (Blackpowder)|Play (any)|Cool|Lore (Genealogy)|Lore (Local)|Lore (Warfare)|Charm Animal|Intuition|</t>
        </is>
      </c>
      <c r="K129" t="inlineStr">
        <is>
          <t>|Etiquette (Nobles)|Luck|Noble Blood|Read/Write|Briber|Carouser|Menacing|Suave|Commanding Presence|Fearless (Paupers)|Public Speaker|Schemer|Coolheaded|Iron Will|War Leader|Wealthy|</t>
        </is>
      </c>
      <c r="L129" t="inlineStr">
        <is>
          <t>As the scion of a noble bloodline, you are set apart from the common rabble.</t>
        </is>
      </c>
      <c r="M129" t="inlineStr">
        <is>
          <t>Leadership</t>
        </is>
      </c>
      <c r="N129" t="inlineStr">
        <is>
          <t>Dwarf, Halfling, High Elf, Human, Wood Elf</t>
        </is>
      </c>
      <c r="O129" t="n">
        <v>76</v>
      </c>
      <c r="P129" t="n">
        <v>1</v>
      </c>
      <c r="T129" t="n">
        <v>4</v>
      </c>
      <c r="U129" t="n">
        <v>1</v>
      </c>
      <c r="W129" t="n">
        <v>2</v>
      </c>
      <c r="X129" t="n">
        <v>3</v>
      </c>
      <c r="Y129" t="n">
        <v>1</v>
      </c>
    </row>
    <row r="130">
      <c r="A130" t="inlineStr">
        <is>
          <t>Nun|1</t>
        </is>
      </c>
      <c r="B130" t="inlineStr">
        <is>
          <t>Nun</t>
        </is>
      </c>
      <c r="C130" t="n">
        <v>1</v>
      </c>
      <c r="D130" t="inlineStr">
        <is>
          <t>Academic</t>
        </is>
      </c>
      <c r="E130" t="inlineStr">
        <is>
          <t>Novice</t>
        </is>
      </c>
      <c r="F130" t="inlineStr">
        <is>
          <t>Brass 1</t>
        </is>
      </c>
      <c r="G130" t="inlineStr">
        <is>
          <t>Art (Calligraphy), Charm, Cool, Endurance, Heal, Language (Classical), Lore (Theology), Outdoor Survival, Pray, Trade (Brewer)</t>
        </is>
      </c>
      <c r="H130" t="inlineStr">
        <is>
          <t>Bless (Any One), Holy Visions, Panhandle, Read/Write</t>
        </is>
      </c>
      <c r="I130" t="inlineStr">
        <is>
          <t>Religious Symbol, Robes</t>
        </is>
      </c>
      <c r="J130" t="inlineStr">
        <is>
          <t>|Art (Calligraphy)|Charm|Cool|Endurance|Heal|Language (Classical)|Lore (Theology)|Outdoor Survival|Pray|Trade (Brewer)|</t>
        </is>
      </c>
      <c r="K130" t="inlineStr">
        <is>
          <t>|Bless (any)|Holy Visions|Panhandle|Read/Write|</t>
        </is>
      </c>
      <c r="L130" t="inlineStr">
        <is>
          <t>You are devoted to the service of your deity, vowing to live dedicated solely to your faith.</t>
        </is>
      </c>
      <c r="M130" t="inlineStr">
        <is>
          <t>Lore (Theology)</t>
        </is>
      </c>
      <c r="N130" t="inlineStr">
        <is>
          <t>Human</t>
        </is>
      </c>
      <c r="O130" t="n">
        <v>77</v>
      </c>
      <c r="S130" t="n">
        <v>3</v>
      </c>
      <c r="T130" t="n">
        <v>4</v>
      </c>
      <c r="V130" t="n">
        <v>1</v>
      </c>
      <c r="W130" t="n">
        <v>1</v>
      </c>
      <c r="X130" t="n">
        <v>2</v>
      </c>
      <c r="Y130" t="n">
        <v>1</v>
      </c>
    </row>
    <row r="131">
      <c r="A131" t="inlineStr">
        <is>
          <t>Nun|2</t>
        </is>
      </c>
      <c r="B131" t="inlineStr">
        <is>
          <t>Nun</t>
        </is>
      </c>
      <c r="C131" t="n">
        <v>2</v>
      </c>
      <c r="D131" t="inlineStr">
        <is>
          <t>Academic</t>
        </is>
      </c>
      <c r="E131" t="inlineStr">
        <is>
          <t>Nun</t>
        </is>
      </c>
      <c r="F131" t="inlineStr">
        <is>
          <t>Silver 1</t>
        </is>
      </c>
      <c r="G131" t="inlineStr">
        <is>
          <t>Entertain (Storytelling), Gossip, Intuition, Language (Any One), Lore (Local), Melee (Any One)</t>
        </is>
      </c>
      <c r="H131" t="inlineStr">
        <is>
          <t>Etiquette (Cultists), Field Dressing, Invoke (Any One), Seasoned Traveller</t>
        </is>
      </c>
      <c r="I131" t="inlineStr">
        <is>
          <t>Book (Religion), Religious Relic</t>
        </is>
      </c>
      <c r="J131" t="inlineStr">
        <is>
          <t>|Art (Calligraphy)|Charm|Cool|Endurance|Heal|Language (Classical)|Lore (Theology)|Outdoor Survival|Pray|Trade (Brewer)|Entertain (Storytelling)|Gossip|Intuition|Language (any)|Lore (Local)|Melee (any)|</t>
        </is>
      </c>
      <c r="K131" t="inlineStr">
        <is>
          <t>|Bless (any)|Holy Visions|Panhandle|Read/Write|Etiquette (Cultists)|Field Dressing|Invoke (any)|Seasoned Traveller|</t>
        </is>
      </c>
      <c r="L131" t="inlineStr">
        <is>
          <t>You are devoted to the service of your deity, vowing to live dedicated solely to your faith.</t>
        </is>
      </c>
      <c r="M131" t="inlineStr">
        <is>
          <t>Lore (Theology)</t>
        </is>
      </c>
      <c r="N131" t="inlineStr">
        <is>
          <t>Human</t>
        </is>
      </c>
      <c r="O131" t="n">
        <v>77</v>
      </c>
      <c r="S131" t="n">
        <v>3</v>
      </c>
      <c r="T131" t="n">
        <v>4</v>
      </c>
      <c r="V131" t="n">
        <v>1</v>
      </c>
      <c r="W131" t="n">
        <v>1</v>
      </c>
      <c r="X131" t="n">
        <v>2</v>
      </c>
      <c r="Y131" t="n">
        <v>1</v>
      </c>
    </row>
    <row r="132">
      <c r="A132" t="inlineStr">
        <is>
          <t>Nun|3</t>
        </is>
      </c>
      <c r="B132" t="inlineStr">
        <is>
          <t>Nun</t>
        </is>
      </c>
      <c r="C132" t="n">
        <v>3</v>
      </c>
      <c r="D132" t="inlineStr">
        <is>
          <t>Academic</t>
        </is>
      </c>
      <c r="E132" t="inlineStr">
        <is>
          <t>Abbess</t>
        </is>
      </c>
      <c r="F132" t="inlineStr">
        <is>
          <t>Gold 1</t>
        </is>
      </c>
      <c r="G132" t="inlineStr">
        <is>
          <t>Intimidate, Leadership, Lore (Politics), Perception</t>
        </is>
      </c>
      <c r="H132" t="inlineStr">
        <is>
          <t>Inspiring, Resistant (Any One), Savant (Theology), Stout-hearted</t>
        </is>
      </c>
      <c r="I132" t="inlineStr">
        <is>
          <t>Abbey, Library (Theology)</t>
        </is>
      </c>
      <c r="J132" t="inlineStr">
        <is>
          <t>|Art (Calligraphy)|Charm|Cool|Endurance|Heal|Language (Classical)|Lore (Theology)|Outdoor Survival|Pray|Trade (Brewer)|Entertain (Storytelling)|Gossip|Intuition|Language (any)|Lore (Local)|Melee (any)|Intimidate|Leadership|Lore (Politics)|Perception|</t>
        </is>
      </c>
      <c r="K132" t="inlineStr">
        <is>
          <t>|Bless (any)|Holy Visions|Panhandle|Read/Write|Etiquette (Cultists)|Field Dressing|Invoke (any)|Seasoned Traveller|Inspiring|Resistant (any)|Savant (Theology)|Stout-hearted|</t>
        </is>
      </c>
      <c r="L132" t="inlineStr">
        <is>
          <t>You are devoted to the service of your deity, vowing to live dedicated solely to your faith.</t>
        </is>
      </c>
      <c r="M132" t="inlineStr">
        <is>
          <t>Lore (Theology)</t>
        </is>
      </c>
      <c r="N132" t="inlineStr">
        <is>
          <t>Human</t>
        </is>
      </c>
      <c r="O132" t="n">
        <v>77</v>
      </c>
      <c r="S132" t="n">
        <v>3</v>
      </c>
      <c r="T132" t="n">
        <v>4</v>
      </c>
      <c r="V132" t="n">
        <v>1</v>
      </c>
      <c r="W132" t="n">
        <v>1</v>
      </c>
      <c r="X132" t="n">
        <v>2</v>
      </c>
      <c r="Y132" t="n">
        <v>1</v>
      </c>
    </row>
    <row r="133">
      <c r="A133" t="inlineStr">
        <is>
          <t>Nun|4</t>
        </is>
      </c>
      <c r="B133" t="inlineStr">
        <is>
          <t>Nun</t>
        </is>
      </c>
      <c r="C133" t="n">
        <v>4</v>
      </c>
      <c r="D133" t="inlineStr">
        <is>
          <t>Academic</t>
        </is>
      </c>
      <c r="E133" t="inlineStr">
        <is>
          <t>Prioress General</t>
        </is>
      </c>
      <c r="F133" t="inlineStr">
        <is>
          <t>Gold 4</t>
        </is>
      </c>
      <c r="G133" t="inlineStr">
        <is>
          <t>Lore (Any One), Research</t>
        </is>
      </c>
      <c r="H133" t="inlineStr">
        <is>
          <t>Commanding Presence, Iron Will, Pure Soul, Strong-minded</t>
        </is>
      </c>
      <c r="I133" t="inlineStr">
        <is>
          <t>Religious Order</t>
        </is>
      </c>
      <c r="J133" t="inlineStr">
        <is>
          <t>|Art (Calligraphy)|Charm|Cool|Endurance|Heal|Language (Classical)|Lore (Theology)|Outdoor Survival|Pray|Trade (Brewer)|Entertain (Storytelling)|Gossip|Intuition|Language (any)|Lore (Local)|Melee (any)|Intimidate|Leadership|Lore (Politics)|Perception|Lore (any)|Research|</t>
        </is>
      </c>
      <c r="K133" t="inlineStr">
        <is>
          <t>|Bless (any)|Holy Visions|Panhandle|Read/Write|Etiquette (Cultists)|Field Dressing|Invoke (any)|Seasoned Traveller|Inspiring|Resistant (any)|Savant (Theology)|Stout-hearted|Commanding Presence|Iron Will|Pure Soul|Strong-minded|</t>
        </is>
      </c>
      <c r="L133" t="inlineStr">
        <is>
          <t>You are devoted to the service of your deity, vowing to live dedicated solely to your faith.</t>
        </is>
      </c>
      <c r="M133" t="inlineStr">
        <is>
          <t>Lore (Theology)</t>
        </is>
      </c>
      <c r="N133" t="inlineStr">
        <is>
          <t>Human</t>
        </is>
      </c>
      <c r="O133" t="n">
        <v>77</v>
      </c>
      <c r="S133" t="n">
        <v>3</v>
      </c>
      <c r="T133" t="n">
        <v>4</v>
      </c>
      <c r="V133" t="n">
        <v>1</v>
      </c>
      <c r="W133" t="n">
        <v>1</v>
      </c>
      <c r="X133" t="n">
        <v>2</v>
      </c>
      <c r="Y133" t="n">
        <v>1</v>
      </c>
    </row>
    <row r="134">
      <c r="A134" t="inlineStr">
        <is>
          <t>Outlaw|1</t>
        </is>
      </c>
      <c r="B134" t="inlineStr">
        <is>
          <t>Outlaw</t>
        </is>
      </c>
      <c r="C134" t="n">
        <v>1</v>
      </c>
      <c r="D134" t="inlineStr">
        <is>
          <t>Rogue</t>
        </is>
      </c>
      <c r="E134" t="inlineStr">
        <is>
          <t>Brigand</t>
        </is>
      </c>
      <c r="F134" t="inlineStr">
        <is>
          <t>Brass 3</t>
        </is>
      </c>
      <c r="G134" t="inlineStr">
        <is>
          <t>Athletics, Cool, Dodge, Endurance, Gamble, Intimidate, Melee (Basic), Outdoor Survival, Perception, Stealth (Rural)</t>
        </is>
      </c>
      <c r="H134" t="inlineStr">
        <is>
          <t>Criminal, Menacing, Rover, Very Resilient</t>
        </is>
      </c>
      <c r="I134" t="inlineStr">
        <is>
          <t>Bedroll, Hand Weapon, Leather Jerkin, Tinderbox</t>
        </is>
      </c>
      <c r="J134" t="inlineStr">
        <is>
          <t>|Athletics|Cool|Dodge|Endurance|Gamble|Intimidate|Melee (Basic)|Outdoor Survival|Perception|Stealth (Rural)|</t>
        </is>
      </c>
      <c r="K134" t="inlineStr">
        <is>
          <t>|Criminal|Menacing|Rover|Very Resilient|</t>
        </is>
      </c>
      <c r="L134" t="inlineStr">
        <is>
          <t>You prey upon travellers, extracting a toll from the vulnerable and the unsuspecting.</t>
        </is>
      </c>
      <c r="M134" t="inlineStr">
        <is>
          <t>Intimidate</t>
        </is>
      </c>
      <c r="N134" t="inlineStr">
        <is>
          <t>Dwarf, Halfling, High Elf, Human, Wood Elf</t>
        </is>
      </c>
      <c r="O134" t="n">
        <v>78</v>
      </c>
      <c r="P134" t="n">
        <v>1</v>
      </c>
      <c r="Q134" t="n">
        <v>2</v>
      </c>
      <c r="R134" t="n">
        <v>1</v>
      </c>
      <c r="S134" t="n">
        <v>3</v>
      </c>
      <c r="U134" t="n">
        <v>1</v>
      </c>
      <c r="Y134" t="n">
        <v>4</v>
      </c>
    </row>
    <row r="135">
      <c r="A135" t="inlineStr">
        <is>
          <t>Outlaw|2</t>
        </is>
      </c>
      <c r="B135" t="inlineStr">
        <is>
          <t>Outlaw</t>
        </is>
      </c>
      <c r="C135" t="n">
        <v>2</v>
      </c>
      <c r="D135" t="inlineStr">
        <is>
          <t>Rogue</t>
        </is>
      </c>
      <c r="E135" t="inlineStr">
        <is>
          <t>Outlaw</t>
        </is>
      </c>
      <c r="F135" t="inlineStr">
        <is>
          <t>Brass 5</t>
        </is>
      </c>
      <c r="G135" t="inlineStr">
        <is>
          <t>Consume Alcohol, Gossip, Lore (Local), Ranged (Bow or Crossbow), Secret Signs (Scout), Set Trap</t>
        </is>
      </c>
      <c r="H135" t="inlineStr">
        <is>
          <t>Marksman, Robust, Striding Gait (Any One), Trapper</t>
        </is>
      </c>
      <c r="I135" t="inlineStr">
        <is>
          <t>Bow with 10 Arrows or Crossbow with 10 Bolts or Shield, Tent</t>
        </is>
      </c>
      <c r="J135" t="inlineStr">
        <is>
          <t>|Athletics|Cool|Dodge|Endurance|Gamble|Intimidate|Melee (Basic)|Outdoor Survival|Perception|Stealth (Rural)|Consume Alcohol|Gossip|Lore (Local)|Ranged (Bow)|Ranged (Crossbow)|Secret Signs (Scout)|Set Trap|</t>
        </is>
      </c>
      <c r="K135" t="inlineStr">
        <is>
          <t>|Criminal|Menacing|Rover|Very Resilient|Marksman|Robust|Striding Gait (any)|Trapper|</t>
        </is>
      </c>
      <c r="L135" t="inlineStr">
        <is>
          <t>You prey upon travellers, extracting a toll from the vulnerable and the unsuspecting.</t>
        </is>
      </c>
      <c r="M135" t="inlineStr">
        <is>
          <t>Intimidate</t>
        </is>
      </c>
      <c r="N135" t="inlineStr">
        <is>
          <t>Dwarf, Halfling, High Elf, Human, Wood Elf</t>
        </is>
      </c>
      <c r="O135" t="n">
        <v>78</v>
      </c>
      <c r="P135" t="n">
        <v>1</v>
      </c>
      <c r="Q135" t="n">
        <v>2</v>
      </c>
      <c r="R135" t="n">
        <v>1</v>
      </c>
      <c r="S135" t="n">
        <v>3</v>
      </c>
      <c r="U135" t="n">
        <v>1</v>
      </c>
      <c r="Y135" t="n">
        <v>4</v>
      </c>
    </row>
    <row r="136">
      <c r="A136" t="inlineStr">
        <is>
          <t>Outlaw|3</t>
        </is>
      </c>
      <c r="B136" t="inlineStr">
        <is>
          <t>Outlaw</t>
        </is>
      </c>
      <c r="C136" t="n">
        <v>3</v>
      </c>
      <c r="D136" t="inlineStr">
        <is>
          <t>Rogue</t>
        </is>
      </c>
      <c r="E136" t="inlineStr">
        <is>
          <t>Outlaw Chief</t>
        </is>
      </c>
      <c r="F136" t="inlineStr">
        <is>
          <t>Silver 3</t>
        </is>
      </c>
      <c r="G136" t="inlineStr">
        <is>
          <t>Bribery, Leadership, Navigation, Ranged (Blackpowder)</t>
        </is>
      </c>
      <c r="H136" t="inlineStr">
        <is>
          <t>Deadeye Shot, Dual Wielder, Fearless (Roadwardens), Seasoned Traveller</t>
        </is>
      </c>
      <c r="I136" t="inlineStr">
        <is>
          <t>Band of Outlaws, Helmet, Sleeved Mail Shirt</t>
        </is>
      </c>
      <c r="J136" t="inlineStr">
        <is>
          <t>|Athletics|Cool|Dodge|Endurance|Gamble|Intimidate|Melee (Basic)|Outdoor Survival|Perception|Stealth (Rural)|Consume Alcohol|Gossip|Lore (Local)|Ranged (Bow)|Ranged (Crossbow)|Secret Signs (Scout)|Set Trap|Bribery|Leadership|Navigation|Ranged (Blackpowder)|</t>
        </is>
      </c>
      <c r="K136" t="inlineStr">
        <is>
          <t>|Criminal|Menacing|Rover|Very Resilient|Marksman|Robust|Striding Gait (any)|Trapper|Deadeye Shot|Dual Wielder|Fearless (Roadwardens)|Seasoned Traveller|</t>
        </is>
      </c>
      <c r="L136" t="inlineStr">
        <is>
          <t>You prey upon travellers, extracting a toll from the vulnerable and the unsuspecting.</t>
        </is>
      </c>
      <c r="M136" t="inlineStr">
        <is>
          <t>Intimidate</t>
        </is>
      </c>
      <c r="N136" t="inlineStr">
        <is>
          <t>Dwarf, Halfling, High Elf, Human, Wood Elf</t>
        </is>
      </c>
      <c r="O136" t="n">
        <v>78</v>
      </c>
      <c r="P136" t="n">
        <v>1</v>
      </c>
      <c r="Q136" t="n">
        <v>2</v>
      </c>
      <c r="R136" t="n">
        <v>1</v>
      </c>
      <c r="S136" t="n">
        <v>3</v>
      </c>
      <c r="U136" t="n">
        <v>1</v>
      </c>
      <c r="Y136" t="n">
        <v>4</v>
      </c>
    </row>
    <row r="137">
      <c r="A137" t="inlineStr">
        <is>
          <t>Outlaw|4</t>
        </is>
      </c>
      <c r="B137" t="inlineStr">
        <is>
          <t>Outlaw</t>
        </is>
      </c>
      <c r="C137" t="n">
        <v>4</v>
      </c>
      <c r="D137" t="inlineStr">
        <is>
          <t>Rogue</t>
        </is>
      </c>
      <c r="E137" t="inlineStr">
        <is>
          <t>Bandit King</t>
        </is>
      </c>
      <c r="F137" t="inlineStr">
        <is>
          <t>Gold 1</t>
        </is>
      </c>
      <c r="G137" t="inlineStr">
        <is>
          <t>Charm, Ride (Horse)</t>
        </is>
      </c>
      <c r="H137" t="inlineStr">
        <is>
          <t>Frightening, Inspiring, Iron Will, Unshakeable</t>
        </is>
      </c>
      <c r="I137" t="inlineStr">
        <is>
          <t>‘Fiefdom' of Outlaw Chiefs, Lair</t>
        </is>
      </c>
      <c r="J137" t="inlineStr">
        <is>
          <t>|Athletics|Cool|Dodge|Endurance|Gamble|Intimidate|Melee (Basic)|Outdoor Survival|Perception|Stealth (Rural)|Consume Alcohol|Gossip|Lore (Local)|Ranged (Bow)|Ranged (Crossbow)|Secret Signs (Scout)|Set Trap|Bribery|Leadership|Navigation|Ranged (Blackpowder)|Charm|Ride (Horse)|</t>
        </is>
      </c>
      <c r="K137" t="inlineStr">
        <is>
          <t>|Criminal|Menacing|Rover|Very Resilient|Marksman|Robust|Striding Gait (any)|Trapper|Deadeye Shot|Dual Wielder|Fearless (Roadwardens)|Seasoned Traveller|Frightening|Inspiring|Iron Will|Unshakeable|</t>
        </is>
      </c>
      <c r="L137" t="inlineStr">
        <is>
          <t>You prey upon travellers, extracting a toll from the vulnerable and the unsuspecting.</t>
        </is>
      </c>
      <c r="M137" t="inlineStr">
        <is>
          <t>Intimidate</t>
        </is>
      </c>
      <c r="N137" t="inlineStr">
        <is>
          <t>Dwarf, Halfling, High Elf, Human, Wood Elf</t>
        </is>
      </c>
      <c r="O137" t="n">
        <v>78</v>
      </c>
      <c r="P137" t="n">
        <v>1</v>
      </c>
      <c r="Q137" t="n">
        <v>2</v>
      </c>
      <c r="R137" t="n">
        <v>1</v>
      </c>
      <c r="S137" t="n">
        <v>3</v>
      </c>
      <c r="U137" t="n">
        <v>1</v>
      </c>
      <c r="Y137" t="n">
        <v>4</v>
      </c>
    </row>
    <row r="138">
      <c r="A138" t="inlineStr">
        <is>
          <t>Pedlar|1</t>
        </is>
      </c>
      <c r="B138" t="inlineStr">
        <is>
          <t>Pedlar</t>
        </is>
      </c>
      <c r="C138" t="n">
        <v>1</v>
      </c>
      <c r="D138" t="inlineStr">
        <is>
          <t>Ranger</t>
        </is>
      </c>
      <c r="E138" t="inlineStr">
        <is>
          <t>Vagabond</t>
        </is>
      </c>
      <c r="F138" t="inlineStr">
        <is>
          <t>Brass 1</t>
        </is>
      </c>
      <c r="G138" t="inlineStr">
        <is>
          <t>Athletics, Charm, Endurance, Entertain (Storytelling), Gossip, Haggle, Navigation, Outdoor Survival, Secret Signs (Vagabond), Stealth (Rural)</t>
        </is>
      </c>
      <c r="H138" t="inlineStr">
        <is>
          <t>Flee!, Gregarious, Stone Soup, Striding Gait (Any One)</t>
        </is>
      </c>
      <c r="I138" t="inlineStr">
        <is>
          <t>Basket, Blanket, Goods worth 2d10 Pennies, Small Tent</t>
        </is>
      </c>
      <c r="J138" t="inlineStr">
        <is>
          <t>|Athletics|Charm|Endurance|Entertain (Storytelling)|Gossip|Haggle|Navigation|Outdoor Survival|Secret Signs (Vagabond)|Stealth (Rural)|</t>
        </is>
      </c>
      <c r="K138" t="inlineStr">
        <is>
          <t>|Flee!|Gregarious|Stone Soup|Striding Gait (any)|</t>
        </is>
      </c>
      <c r="L138" t="inlineStr">
        <is>
          <t>You are a travelling vendor of cheap goods and services, navigating the dangers of the Old World and selling where you will.</t>
        </is>
      </c>
      <c r="M138" t="inlineStr">
        <is>
          <t>Haggle</t>
        </is>
      </c>
      <c r="N138" t="inlineStr">
        <is>
          <t>Dwarf, Halfling, Human</t>
        </is>
      </c>
      <c r="O138" t="n">
        <v>79</v>
      </c>
      <c r="S138" t="n">
        <v>1</v>
      </c>
      <c r="T138" t="n">
        <v>3</v>
      </c>
      <c r="U138" t="n">
        <v>1</v>
      </c>
      <c r="V138" t="n">
        <v>2</v>
      </c>
      <c r="W138" t="n">
        <v>4</v>
      </c>
      <c r="Y138" t="n">
        <v>1</v>
      </c>
    </row>
    <row r="139">
      <c r="A139" t="inlineStr">
        <is>
          <t>Pedlar|2</t>
        </is>
      </c>
      <c r="B139" t="inlineStr">
        <is>
          <t>Pedlar</t>
        </is>
      </c>
      <c r="C139" t="n">
        <v>2</v>
      </c>
      <c r="D139" t="inlineStr">
        <is>
          <t>Ranger</t>
        </is>
      </c>
      <c r="E139" t="inlineStr">
        <is>
          <t>Pedlar</t>
        </is>
      </c>
      <c r="F139" t="inlineStr">
        <is>
          <t>Brass 4</t>
        </is>
      </c>
      <c r="G139" t="inlineStr">
        <is>
          <t>Consume Alcohol, Drive, Evaluate, Lore (Local), Perception, Trade (Tinker)</t>
        </is>
      </c>
      <c r="H139" t="inlineStr">
        <is>
          <t>Seasoned Traveller, Sturdy, Tinker, Well-prepared</t>
        </is>
      </c>
      <c r="I139" t="inlineStr">
        <is>
          <t>Backpack or Handcart, Bedroll, Goods worth 8d20 Pennies, Pots and Pans, Trade Tools (Tinker)</t>
        </is>
      </c>
      <c r="J139" t="inlineStr">
        <is>
          <t>|Athletics|Charm|Endurance|Entertain (Storytelling)|Gossip|Haggle|Navigation|Outdoor Survival|Secret Signs (Vagabond)|Stealth (Rural)|Consume Alcohol|Drive|Evaluate|Lore (Local)|Perception|Trade (Tinker)|</t>
        </is>
      </c>
      <c r="K139" t="inlineStr">
        <is>
          <t>|Flee!|Gregarious|Stone Soup|Striding Gait (any)|Seasoned Traveller|Sturdy|Tinker|Well-prepared|</t>
        </is>
      </c>
      <c r="L139" t="inlineStr">
        <is>
          <t>You are a travelling vendor of cheap goods and services, navigating the dangers of the Old World and selling where you will.</t>
        </is>
      </c>
      <c r="M139" t="inlineStr">
        <is>
          <t>Haggle</t>
        </is>
      </c>
      <c r="N139" t="inlineStr">
        <is>
          <t>Dwarf, Halfling, Human</t>
        </is>
      </c>
      <c r="O139" t="n">
        <v>79</v>
      </c>
      <c r="S139" t="n">
        <v>1</v>
      </c>
      <c r="T139" t="n">
        <v>3</v>
      </c>
      <c r="U139" t="n">
        <v>1</v>
      </c>
      <c r="V139" t="n">
        <v>2</v>
      </c>
      <c r="W139" t="n">
        <v>4</v>
      </c>
      <c r="Y139" t="n">
        <v>1</v>
      </c>
    </row>
    <row r="140">
      <c r="A140" t="inlineStr">
        <is>
          <t>Pedlar|3</t>
        </is>
      </c>
      <c r="B140" t="inlineStr">
        <is>
          <t>Pedlar</t>
        </is>
      </c>
      <c r="C140" t="n">
        <v>3</v>
      </c>
      <c r="D140" t="inlineStr">
        <is>
          <t>Ranger</t>
        </is>
      </c>
      <c r="E140" t="inlineStr">
        <is>
          <t>Carter</t>
        </is>
      </c>
      <c r="F140" t="inlineStr">
        <is>
          <t>Silver 2</t>
        </is>
      </c>
      <c r="G140" t="inlineStr">
        <is>
          <t>Animal Care, Charm Animal, Intuition, Ranged (Sling)</t>
        </is>
      </c>
      <c r="H140" t="inlineStr">
        <is>
          <t>Dealmaker, Orientation, Sixth Sense, Tenacious</t>
        </is>
      </c>
      <c r="I140" t="inlineStr">
        <is>
          <t>Mule and Cart, Goods worth at least 2d10 Shillings, Sling with 10 Bullets</t>
        </is>
      </c>
      <c r="J140" t="inlineStr">
        <is>
          <t>|Athletics|Charm|Endurance|Entertain (Storytelling)|Gossip|Haggle|Navigation|Outdoor Survival|Secret Signs (Vagabond)|Stealth (Rural)|Consume Alcohol|Drive|Evaluate|Lore (Local)|Perception|Trade (Tinker)|Animal Care|Charm Animal|Intuition|Ranged (Sling)|</t>
        </is>
      </c>
      <c r="K140" t="inlineStr">
        <is>
          <t>|Flee!|Gregarious|Stone Soup|Striding Gait (any)|Seasoned Traveller|Sturdy|Tinker|Well-prepared|Dealmaker|Orientation|Sixth Sense|Tenacious|</t>
        </is>
      </c>
      <c r="L140" t="inlineStr">
        <is>
          <t>You are a travelling vendor of cheap goods and services, navigating the dangers of the Old World and selling where you will.</t>
        </is>
      </c>
      <c r="M140" t="inlineStr">
        <is>
          <t>Haggle</t>
        </is>
      </c>
      <c r="N140" t="inlineStr">
        <is>
          <t>Dwarf, Halfling, Human</t>
        </is>
      </c>
      <c r="O140" t="n">
        <v>79</v>
      </c>
      <c r="S140" t="n">
        <v>1</v>
      </c>
      <c r="T140" t="n">
        <v>3</v>
      </c>
      <c r="U140" t="n">
        <v>1</v>
      </c>
      <c r="V140" t="n">
        <v>2</v>
      </c>
      <c r="W140" t="n">
        <v>4</v>
      </c>
      <c r="Y140" t="n">
        <v>1</v>
      </c>
    </row>
    <row r="141">
      <c r="A141" t="inlineStr">
        <is>
          <t>Pedlar|4</t>
        </is>
      </c>
      <c r="B141" t="inlineStr">
        <is>
          <t>Pedlar</t>
        </is>
      </c>
      <c r="C141" t="n">
        <v>4</v>
      </c>
      <c r="D141" t="inlineStr">
        <is>
          <t>Ranger</t>
        </is>
      </c>
      <c r="E141" t="inlineStr">
        <is>
          <t>Wandering Trader</t>
        </is>
      </c>
      <c r="F141" t="inlineStr">
        <is>
          <t>Silver 3</t>
        </is>
      </c>
      <c r="G141" t="inlineStr">
        <is>
          <t>Language (Any One), Lore (Geography)</t>
        </is>
      </c>
      <c r="H141" t="inlineStr">
        <is>
          <t>Etiquette (Any One), Numismatics, Strong-minded, Suave</t>
        </is>
      </c>
      <c r="I141" t="inlineStr">
        <is>
          <t>Draught Horse and Wagon, Goods worth at least 3d10 Shillings, 4d10 Shillings</t>
        </is>
      </c>
      <c r="J141" t="inlineStr">
        <is>
          <t>|Athletics|Charm|Endurance|Entertain (Storytelling)|Gossip|Haggle|Navigation|Outdoor Survival|Secret Signs (Vagabond)|Stealth (Rural)|Consume Alcohol|Drive|Evaluate|Lore (Local)|Perception|Trade (Tinker)|Animal Care|Charm Animal|Intuition|Ranged (Sling)|Language (any)|Lore (Geography)|</t>
        </is>
      </c>
      <c r="K141" t="inlineStr">
        <is>
          <t>|Flee!|Gregarious|Stone Soup|Striding Gait (any)|Seasoned Traveller|Sturdy|Tinker|Well-prepared|Dealmaker|Orientation|Sixth Sense|Tenacious|Etiquette (any)|Numismatics|Strong-minded|Suave|</t>
        </is>
      </c>
      <c r="L141" t="inlineStr">
        <is>
          <t>You are a travelling vendor of cheap goods and services, navigating the dangers of the Old World and selling where you will.</t>
        </is>
      </c>
      <c r="M141" t="inlineStr">
        <is>
          <t>Haggle</t>
        </is>
      </c>
      <c r="N141" t="inlineStr">
        <is>
          <t>Dwarf, Halfling, Human</t>
        </is>
      </c>
      <c r="O141" t="n">
        <v>79</v>
      </c>
      <c r="S141" t="n">
        <v>1</v>
      </c>
      <c r="T141" t="n">
        <v>3</v>
      </c>
      <c r="U141" t="n">
        <v>1</v>
      </c>
      <c r="V141" t="n">
        <v>2</v>
      </c>
      <c r="W141" t="n">
        <v>4</v>
      </c>
      <c r="Y141" t="n">
        <v>1</v>
      </c>
    </row>
    <row r="142">
      <c r="A142" t="inlineStr">
        <is>
          <t>Physician|1</t>
        </is>
      </c>
      <c r="B142" t="inlineStr">
        <is>
          <t>Physician</t>
        </is>
      </c>
      <c r="C142" t="n">
        <v>1</v>
      </c>
      <c r="D142" t="inlineStr">
        <is>
          <t>Academic</t>
        </is>
      </c>
      <c r="E142" t="inlineStr">
        <is>
          <t>Physician's Apprentice</t>
        </is>
      </c>
      <c r="F142" t="inlineStr">
        <is>
          <t>Brass 4</t>
        </is>
      </c>
      <c r="G142" t="inlineStr">
        <is>
          <t>Charm, Consume Alcohol, Cool, Endurance, Gossip, Heal, Language (Classical), Lore (Medicine), Research, Trade (Barber)</t>
        </is>
      </c>
      <c r="H142" t="inlineStr">
        <is>
          <t>Bookish, Craftsman (Barber), Field Dressing, Read/Write</t>
        </is>
      </c>
      <c r="I142" t="inlineStr">
        <is>
          <t>Bandages, Healing Draught</t>
        </is>
      </c>
      <c r="J142" t="inlineStr">
        <is>
          <t>|Charm|Consume Alcohol|Cool|Endurance|Gossip|Heal|Language (Classical)|Lore (Medicine)|Research|Trade (Barber)|</t>
        </is>
      </c>
      <c r="K142" t="inlineStr">
        <is>
          <t>|Bookish|Craftsman (Barber)|Field Dressing|Read/Write|</t>
        </is>
      </c>
      <c r="L142" t="inlineStr">
        <is>
          <t>With a strong stomach and steady hand, you practise the art of medicine.</t>
        </is>
      </c>
      <c r="M142" t="inlineStr">
        <is>
          <t>Heal</t>
        </is>
      </c>
      <c r="N142" t="inlineStr">
        <is>
          <t>Dwarf, Halfling, High Elf, Human</t>
        </is>
      </c>
      <c r="O142" t="n">
        <v>80</v>
      </c>
      <c r="S142" t="n">
        <v>2</v>
      </c>
      <c r="T142" t="n">
        <v>3</v>
      </c>
      <c r="V142" t="n">
        <v>1</v>
      </c>
      <c r="W142" t="n">
        <v>1</v>
      </c>
      <c r="X142" t="n">
        <v>4</v>
      </c>
      <c r="Y142" t="n">
        <v>1</v>
      </c>
    </row>
    <row r="143">
      <c r="A143" t="inlineStr">
        <is>
          <t>Physician|2</t>
        </is>
      </c>
      <c r="B143" t="inlineStr">
        <is>
          <t>Physician</t>
        </is>
      </c>
      <c r="C143" t="n">
        <v>2</v>
      </c>
      <c r="D143" t="inlineStr">
        <is>
          <t>Academic</t>
        </is>
      </c>
      <c r="E143" t="inlineStr">
        <is>
          <t>Physician</t>
        </is>
      </c>
      <c r="F143" t="inlineStr">
        <is>
          <t>Silver 3</t>
        </is>
      </c>
      <c r="G143" t="inlineStr">
        <is>
          <t>Bribery, Haggle, Language (Guilder), Lore (Science), Secret Signs (Guilder), Sleight of Hand</t>
        </is>
      </c>
      <c r="H143" t="inlineStr">
        <is>
          <t>Etiquette (Guilder), Etiquette (Scholars), Nimble-fingered, Surgery</t>
        </is>
      </c>
      <c r="I143" t="inlineStr">
        <is>
          <t>Book (Medicine), Guild Licence, Trade Tools (Physician)</t>
        </is>
      </c>
      <c r="J143" t="inlineStr">
        <is>
          <t>|Charm|Consume Alcohol|Cool|Endurance|Gossip|Heal|Language (Classical)|Lore (Medicine)|Research|Trade (Barber)|Bribery|Haggle|Language (Guilder)|Lore (Science)|Secret Signs (Guilder)|Sleight of Hand|</t>
        </is>
      </c>
      <c r="K143" t="inlineStr">
        <is>
          <t>|Bookish|Craftsman (Barber)|Field Dressing|Read/Write|Etiquette (Guilder)|Etiquette (Scholars)|Nimble-fingered|Surgery|</t>
        </is>
      </c>
      <c r="L143" t="inlineStr">
        <is>
          <t>With a strong stomach and steady hand, you practise the art of medicine.</t>
        </is>
      </c>
      <c r="M143" t="inlineStr">
        <is>
          <t>Heal</t>
        </is>
      </c>
      <c r="N143" t="inlineStr">
        <is>
          <t>Dwarf, Halfling, High Elf, Human</t>
        </is>
      </c>
      <c r="O143" t="n">
        <v>80</v>
      </c>
      <c r="S143" t="n">
        <v>2</v>
      </c>
      <c r="T143" t="n">
        <v>3</v>
      </c>
      <c r="V143" t="n">
        <v>1</v>
      </c>
      <c r="W143" t="n">
        <v>1</v>
      </c>
      <c r="X143" t="n">
        <v>4</v>
      </c>
      <c r="Y143" t="n">
        <v>1</v>
      </c>
    </row>
    <row r="144">
      <c r="A144" t="inlineStr">
        <is>
          <t>Physician|3</t>
        </is>
      </c>
      <c r="B144" t="inlineStr">
        <is>
          <t>Physician</t>
        </is>
      </c>
      <c r="C144" t="n">
        <v>3</v>
      </c>
      <c r="D144" t="inlineStr">
        <is>
          <t>Academic</t>
        </is>
      </c>
      <c r="E144" t="inlineStr">
        <is>
          <t>Doktor</t>
        </is>
      </c>
      <c r="F144" t="inlineStr">
        <is>
          <t>Silver 5</t>
        </is>
      </c>
      <c r="G144" t="inlineStr">
        <is>
          <t>Entertain (Storytelling), Gamble, Intuition, Leadership</t>
        </is>
      </c>
      <c r="H144" t="inlineStr">
        <is>
          <t>Ambidextrous, Resistant (Disease), Savvy, Strike to Injure</t>
        </is>
      </c>
      <c r="I144" t="inlineStr">
        <is>
          <t>Apprentice, Workshop (Physician)</t>
        </is>
      </c>
      <c r="J144" t="inlineStr">
        <is>
          <t>|Charm|Consume Alcohol|Cool|Endurance|Gossip|Heal|Language (Classical)|Lore (Medicine)|Research|Trade (Barber)|Bribery|Haggle|Language (Guilder)|Lore (Science)|Secret Signs (Guilder)|Sleight of Hand|Entertain (Storytelling)|Gamble|Intuition|Leadership|</t>
        </is>
      </c>
      <c r="K144" t="inlineStr">
        <is>
          <t>|Bookish|Craftsman (Barber)|Field Dressing|Read/Write|Etiquette (Guilder)|Etiquette (Scholars)|Nimble-fingered|Surgery|Ambidextrous|Resistant (Disease)|Savvy|Strike to Injure|</t>
        </is>
      </c>
      <c r="L144" t="inlineStr">
        <is>
          <t>With a strong stomach and steady hand, you practise the art of medicine.</t>
        </is>
      </c>
      <c r="M144" t="inlineStr">
        <is>
          <t>Heal</t>
        </is>
      </c>
      <c r="N144" t="inlineStr">
        <is>
          <t>Dwarf, Halfling, High Elf, Human</t>
        </is>
      </c>
      <c r="O144" t="n">
        <v>80</v>
      </c>
      <c r="S144" t="n">
        <v>2</v>
      </c>
      <c r="T144" t="n">
        <v>3</v>
      </c>
      <c r="V144" t="n">
        <v>1</v>
      </c>
      <c r="W144" t="n">
        <v>1</v>
      </c>
      <c r="X144" t="n">
        <v>4</v>
      </c>
      <c r="Y144" t="n">
        <v>1</v>
      </c>
    </row>
    <row r="145">
      <c r="A145" t="inlineStr">
        <is>
          <t>Physician|4</t>
        </is>
      </c>
      <c r="B145" t="inlineStr">
        <is>
          <t>Physician</t>
        </is>
      </c>
      <c r="C145" t="n">
        <v>4</v>
      </c>
      <c r="D145" t="inlineStr">
        <is>
          <t>Academic</t>
        </is>
      </c>
      <c r="E145" t="inlineStr">
        <is>
          <t>Court Physician</t>
        </is>
      </c>
      <c r="F145" t="inlineStr">
        <is>
          <t>Gold 1</t>
        </is>
      </c>
      <c r="G145" t="inlineStr">
        <is>
          <t>Lore (Genealogy), Perform (Dancing)</t>
        </is>
      </c>
      <c r="H145" t="inlineStr">
        <is>
          <t>Carouser, Etiquette (Nobles), Savant (Medicine), Strong-minded</t>
        </is>
      </c>
      <c r="I145" t="inlineStr">
        <is>
          <t>Courtly Attire, Letter of Appointment</t>
        </is>
      </c>
      <c r="J145" t="inlineStr">
        <is>
          <t>|Charm|Consume Alcohol|Cool|Endurance|Gossip|Heal|Language (Classical)|Lore (Medicine)|Research|Trade (Barber)|Bribery|Haggle|Language (Guilder)|Lore (Science)|Secret Signs (Guilder)|Sleight of Hand|Entertain (Storytelling)|Gamble|Intuition|Leadership|Lore (Genealogy)|Perform (Dancing)|</t>
        </is>
      </c>
      <c r="K145" t="inlineStr">
        <is>
          <t>|Bookish|Craftsman (Barber)|Field Dressing|Read/Write|Etiquette (Guilder)|Etiquette (Scholars)|Nimble-fingered|Surgery|Ambidextrous|Resistant (Disease)|Savvy|Strike to Injure|Carouser|Etiquette (Nobles)|Savant (Medicine)|Strong-minded|</t>
        </is>
      </c>
      <c r="L145" t="inlineStr">
        <is>
          <t>With a strong stomach and steady hand, you practise the art of medicine.</t>
        </is>
      </c>
      <c r="M145" t="inlineStr">
        <is>
          <t>Heal</t>
        </is>
      </c>
      <c r="N145" t="inlineStr">
        <is>
          <t>Dwarf, Halfling, High Elf, Human</t>
        </is>
      </c>
      <c r="O145" t="n">
        <v>80</v>
      </c>
      <c r="S145" t="n">
        <v>2</v>
      </c>
      <c r="T145" t="n">
        <v>3</v>
      </c>
      <c r="V145" t="n">
        <v>1</v>
      </c>
      <c r="W145" t="n">
        <v>1</v>
      </c>
      <c r="X145" t="n">
        <v>4</v>
      </c>
      <c r="Y145" t="n">
        <v>1</v>
      </c>
    </row>
    <row r="146">
      <c r="A146" t="inlineStr">
        <is>
          <t>Pilot|1</t>
        </is>
      </c>
      <c r="B146" t="inlineStr">
        <is>
          <t>Pilot</t>
        </is>
      </c>
      <c r="C146" t="n">
        <v>1</v>
      </c>
      <c r="D146" t="inlineStr">
        <is>
          <t>Riverfolk</t>
        </is>
      </c>
      <c r="E146" t="inlineStr">
        <is>
          <t>Riverguide</t>
        </is>
      </c>
      <c r="F146" t="inlineStr">
        <is>
          <t>Brass 4</t>
        </is>
      </c>
      <c r="G146" t="inlineStr">
        <is>
          <t>Consume Alcohol, Gossip, Intuition, Lore (Local), Lore (Riverways), Navigation, Outdoor Survival, Perception, Row, Swim</t>
        </is>
      </c>
      <c r="H146" t="inlineStr">
        <is>
          <t>Fisherman, Orientation, River Guide, Waterman</t>
        </is>
      </c>
      <c r="I146" t="inlineStr">
        <is>
          <t>Hand Weapon (Boat Hook)</t>
        </is>
      </c>
      <c r="J146" t="inlineStr">
        <is>
          <t>|Consume Alcohol|Gossip|Intuition|Lore (Local)|Lore (Riverways)|Navigation|Outdoor Survival|Perception|Row|Swim|</t>
        </is>
      </c>
      <c r="K146" t="inlineStr">
        <is>
          <t>|Fisherman|Orientation|River Guide|Waterman|</t>
        </is>
      </c>
      <c r="L146" t="inlineStr">
        <is>
          <t>You pilot ships and boats through the most treacherous waters of the Old World.</t>
        </is>
      </c>
      <c r="M146" t="inlineStr">
        <is>
          <t>Lore (Riverways)</t>
        </is>
      </c>
      <c r="N146" t="inlineStr">
        <is>
          <t>Dwarf, Halfling, High Elf, Human</t>
        </is>
      </c>
      <c r="O146" t="n">
        <v>81</v>
      </c>
      <c r="R146" t="n">
        <v>1</v>
      </c>
      <c r="T146" t="n">
        <v>1</v>
      </c>
      <c r="U146" t="n">
        <v>2</v>
      </c>
      <c r="W146" t="n">
        <v>1</v>
      </c>
      <c r="X146" t="n">
        <v>4</v>
      </c>
      <c r="Y146" t="n">
        <v>3</v>
      </c>
    </row>
    <row r="147">
      <c r="A147" t="inlineStr">
        <is>
          <t>Pilot|2</t>
        </is>
      </c>
      <c r="B147" t="inlineStr">
        <is>
          <t>Pilot</t>
        </is>
      </c>
      <c r="C147" t="n">
        <v>2</v>
      </c>
      <c r="D147" t="inlineStr">
        <is>
          <t>Riverfolk</t>
        </is>
      </c>
      <c r="E147" t="inlineStr">
        <is>
          <t>Pilot</t>
        </is>
      </c>
      <c r="F147" t="inlineStr">
        <is>
          <t>Silver 1</t>
        </is>
      </c>
      <c r="G147" t="inlineStr">
        <is>
          <t>Athletics, Charm, Cool, Entertain (Storytelling), Haggle, Language (Any One)</t>
        </is>
      </c>
      <c r="H147" t="inlineStr">
        <is>
          <t>Etiquette (Guilder), Night Vision, Nose for Trouble, Pilot</t>
        </is>
      </c>
      <c r="I147" t="inlineStr">
        <is>
          <t>Leather Jerkin, Rope, Rowboat</t>
        </is>
      </c>
      <c r="J147" t="inlineStr">
        <is>
          <t>|Consume Alcohol|Gossip|Intuition|Lore (Local)|Lore (Riverways)|Navigation|Outdoor Survival|Perception|Row|Swim|Athletics|Charm|Cool|Entertain (Storytelling)|Haggle|Language (any)|</t>
        </is>
      </c>
      <c r="K147" t="inlineStr">
        <is>
          <t>|Fisherman|Orientation|River Guide|Waterman|Etiquette (Guilder)|Night Vision|Nose for Trouble|Pilot|</t>
        </is>
      </c>
      <c r="L147" t="inlineStr">
        <is>
          <t>You pilot ships and boats through the most treacherous waters of the Old World.</t>
        </is>
      </c>
      <c r="M147" t="inlineStr">
        <is>
          <t>Lore (Riverways)</t>
        </is>
      </c>
      <c r="N147" t="inlineStr">
        <is>
          <t>Dwarf, Halfling, High Elf, Human</t>
        </is>
      </c>
      <c r="O147" t="n">
        <v>81</v>
      </c>
      <c r="R147" t="n">
        <v>1</v>
      </c>
      <c r="T147" t="n">
        <v>1</v>
      </c>
      <c r="U147" t="n">
        <v>2</v>
      </c>
      <c r="W147" t="n">
        <v>1</v>
      </c>
      <c r="X147" t="n">
        <v>4</v>
      </c>
      <c r="Y147" t="n">
        <v>3</v>
      </c>
    </row>
    <row r="148">
      <c r="A148" t="inlineStr">
        <is>
          <t>Pilot|3</t>
        </is>
      </c>
      <c r="B148" t="inlineStr">
        <is>
          <t>Pilot</t>
        </is>
      </c>
      <c r="C148" t="n">
        <v>3</v>
      </c>
      <c r="D148" t="inlineStr">
        <is>
          <t>Riverfolk</t>
        </is>
      </c>
      <c r="E148" t="inlineStr">
        <is>
          <t>Navigator</t>
        </is>
      </c>
      <c r="F148" t="inlineStr">
        <is>
          <t>Silver 3</t>
        </is>
      </c>
      <c r="G148" t="inlineStr">
        <is>
          <t>Endurance, Intimidate, Lore (Local), Lore (Wrecks)</t>
        </is>
      </c>
      <c r="H148" t="inlineStr">
        <is>
          <t>Acute Sense (Sight), Dealmaker, Savant (Riverways), Strong Swimmer</t>
        </is>
      </c>
      <c r="I148" t="inlineStr">
        <is>
          <t>Pole, Storm Lantern and Oil</t>
        </is>
      </c>
      <c r="J148" t="inlineStr">
        <is>
          <t>|Consume Alcohol|Gossip|Intuition|Lore (Local)|Lore (Riverways)|Navigation|Outdoor Survival|Perception|Row|Swim|Athletics|Charm|Cool|Entertain (Storytelling)|Haggle|Language (any)|Endurance|Intimidate|Lore (Wrecks)|</t>
        </is>
      </c>
      <c r="K148" t="inlineStr">
        <is>
          <t>|Fisherman|Orientation|River Guide|Waterman|Etiquette (Guilder)|Night Vision|Nose for Trouble|Pilot|Acute Sense (Sight)|Dealmaker|Savant (Riverways)|Strong Swimmer|</t>
        </is>
      </c>
      <c r="L148" t="inlineStr">
        <is>
          <t>You pilot ships and boats through the most treacherous waters of the Old World.</t>
        </is>
      </c>
      <c r="M148" t="inlineStr">
        <is>
          <t>Lore (Riverways)</t>
        </is>
      </c>
      <c r="N148" t="inlineStr">
        <is>
          <t>Dwarf, Halfling, High Elf, Human</t>
        </is>
      </c>
      <c r="O148" t="n">
        <v>81</v>
      </c>
      <c r="R148" t="n">
        <v>1</v>
      </c>
      <c r="T148" t="n">
        <v>1</v>
      </c>
      <c r="U148" t="n">
        <v>2</v>
      </c>
      <c r="W148" t="n">
        <v>1</v>
      </c>
      <c r="X148" t="n">
        <v>4</v>
      </c>
      <c r="Y148" t="n">
        <v>3</v>
      </c>
    </row>
    <row r="149">
      <c r="A149" t="inlineStr">
        <is>
          <t>Pilot|4</t>
        </is>
      </c>
      <c r="B149" t="inlineStr">
        <is>
          <t>Pilot</t>
        </is>
      </c>
      <c r="C149" t="n">
        <v>4</v>
      </c>
      <c r="D149" t="inlineStr">
        <is>
          <t>Riverfolk</t>
        </is>
      </c>
      <c r="E149" t="inlineStr">
        <is>
          <t>Master Pilot</t>
        </is>
      </c>
      <c r="F149" t="inlineStr">
        <is>
          <t>Silver 5</t>
        </is>
      </c>
      <c r="G149" t="inlineStr">
        <is>
          <t>Leadership, Sail</t>
        </is>
      </c>
      <c r="H149" t="inlineStr">
        <is>
          <t>Seasoned Traveller, Sharp, Sixth Sense, Tenacious</t>
        </is>
      </c>
      <c r="I149" t="inlineStr">
        <is>
          <t>Boathand, Small Riverboat</t>
        </is>
      </c>
      <c r="J149" t="inlineStr">
        <is>
          <t>|Consume Alcohol|Gossip|Intuition|Lore (Local)|Lore (Riverways)|Navigation|Outdoor Survival|Perception|Row|Swim|Athletics|Charm|Cool|Entertain (Storytelling)|Haggle|Language (any)|Endurance|Intimidate|Lore (Wrecks)|Leadership|Sail|</t>
        </is>
      </c>
      <c r="K149" t="inlineStr">
        <is>
          <t>|Fisherman|Orientation|River Guide|Waterman|Etiquette (Guilder)|Night Vision|Nose for Trouble|Pilot|Acute Sense (Sight)|Dealmaker|Savant (Riverways)|Strong Swimmer|Seasoned Traveller|Sharp|Sixth Sense|Tenacious|</t>
        </is>
      </c>
      <c r="L149" t="inlineStr">
        <is>
          <t>You pilot ships and boats through the most treacherous waters of the Old World.</t>
        </is>
      </c>
      <c r="M149" t="inlineStr">
        <is>
          <t>Lore (Riverways)</t>
        </is>
      </c>
      <c r="N149" t="inlineStr">
        <is>
          <t>Dwarf, Halfling, High Elf, Human</t>
        </is>
      </c>
      <c r="O149" t="n">
        <v>81</v>
      </c>
      <c r="R149" t="n">
        <v>1</v>
      </c>
      <c r="T149" t="n">
        <v>1</v>
      </c>
      <c r="U149" t="n">
        <v>2</v>
      </c>
      <c r="W149" t="n">
        <v>1</v>
      </c>
      <c r="X149" t="n">
        <v>4</v>
      </c>
      <c r="Y149" t="n">
        <v>3</v>
      </c>
    </row>
    <row r="150">
      <c r="A150" t="inlineStr">
        <is>
          <t>Pit Fighter|1</t>
        </is>
      </c>
      <c r="B150" t="inlineStr">
        <is>
          <t>Pit Fighter</t>
        </is>
      </c>
      <c r="C150" t="n">
        <v>1</v>
      </c>
      <c r="D150" t="inlineStr">
        <is>
          <t>Warrior</t>
        </is>
      </c>
      <c r="E150" t="inlineStr">
        <is>
          <t>Pugilist</t>
        </is>
      </c>
      <c r="F150" t="inlineStr">
        <is>
          <t>Brass 4</t>
        </is>
      </c>
      <c r="G150" t="inlineStr">
        <is>
          <t>Athletics, Consume Alcohol, Cool, Dodge, Endurance, Entertain (Taunt), Gamble, Intimidate, Melee (Any One), Melee (Brawling)</t>
        </is>
      </c>
      <c r="H150" t="inlineStr">
        <is>
          <t>Dirty Fighting, Enclosed Fighter, In-fighter, Iron Jaw</t>
        </is>
      </c>
      <c r="I150" t="inlineStr">
        <is>
          <t>Bandages, Knuckledusters, Leather Jack</t>
        </is>
      </c>
      <c r="J150" t="inlineStr">
        <is>
          <t>|Athletics|Consume Alcohol|Cool|Dodge|Endurance|Entertain (Taunt)|Gamble|Intimidate|Melee (any)|Melee (Brawling)|</t>
        </is>
      </c>
      <c r="K150" t="inlineStr">
        <is>
          <t>|Dirty Fighting|Enclosed Fighter|In-fighter|Iron Jaw|</t>
        </is>
      </c>
      <c r="L150" t="inlineStr">
        <is>
          <t>You fight for money, for glory, and for the entertainment of the masses.</t>
        </is>
      </c>
      <c r="M150" t="inlineStr">
        <is>
          <t>Melee (Any One)</t>
        </is>
      </c>
      <c r="N150" t="inlineStr">
        <is>
          <t>Dwarf, Halfling, High Elf, Human, Wood Elf</t>
        </is>
      </c>
      <c r="O150" t="n">
        <v>82</v>
      </c>
      <c r="P150" t="n">
        <v>1</v>
      </c>
      <c r="R150" t="n">
        <v>1</v>
      </c>
      <c r="S150" t="n">
        <v>1</v>
      </c>
      <c r="T150" t="n">
        <v>2</v>
      </c>
      <c r="U150" t="n">
        <v>3</v>
      </c>
      <c r="Y150" t="n">
        <v>4</v>
      </c>
    </row>
    <row r="151">
      <c r="A151" t="inlineStr">
        <is>
          <t>Pit Fighter|2</t>
        </is>
      </c>
      <c r="B151" t="inlineStr">
        <is>
          <t>Pit Fighter</t>
        </is>
      </c>
      <c r="C151" t="n">
        <v>2</v>
      </c>
      <c r="D151" t="inlineStr">
        <is>
          <t>Warrior</t>
        </is>
      </c>
      <c r="E151" t="inlineStr">
        <is>
          <t>Pit Fighter</t>
        </is>
      </c>
      <c r="F151" t="inlineStr">
        <is>
          <t>Silver 2</t>
        </is>
      </c>
      <c r="G151" t="inlineStr">
        <is>
          <t>Haggle, Melee (Basic), Melee (Flail or Two-handed), Perception, Perform (Fight), Ranged (Entangling)</t>
        </is>
      </c>
      <c r="H151" t="inlineStr">
        <is>
          <t>Combat Reflexes, Dual Wielder, Menacing, Shieldsman</t>
        </is>
      </c>
      <c r="I151" t="inlineStr">
        <is>
          <t>Flail or Great Weapon, Net or Whip, Shield</t>
        </is>
      </c>
      <c r="J151" t="inlineStr">
        <is>
          <t>|Athletics|Consume Alcohol|Cool|Dodge|Endurance|Entertain (Taunt)|Gamble|Intimidate|Melee (any)|Melee (Brawling)|Haggle|Melee (Basic)|Melee (Flail)|Melee (Two-handed)|Perception|Perform (Fight)|Ranged (Entangling)|</t>
        </is>
      </c>
      <c r="K151" t="inlineStr">
        <is>
          <t>|Dirty Fighting|Enclosed Fighter|In-fighter|Iron Jaw|Combat Reflexes|Dual Wielder|Menacing|Shieldsman|</t>
        </is>
      </c>
      <c r="L151" t="inlineStr">
        <is>
          <t>You fight for money, for glory, and for the entertainment of the masses.</t>
        </is>
      </c>
      <c r="M151" t="inlineStr">
        <is>
          <t>Melee (Any One)</t>
        </is>
      </c>
      <c r="N151" t="inlineStr">
        <is>
          <t>Dwarf, Halfling, High Elf, Human, Wood Elf</t>
        </is>
      </c>
      <c r="O151" t="n">
        <v>82</v>
      </c>
      <c r="P151" t="n">
        <v>1</v>
      </c>
      <c r="R151" t="n">
        <v>1</v>
      </c>
      <c r="S151" t="n">
        <v>1</v>
      </c>
      <c r="T151" t="n">
        <v>2</v>
      </c>
      <c r="U151" t="n">
        <v>3</v>
      </c>
      <c r="Y151" t="n">
        <v>4</v>
      </c>
    </row>
    <row r="152">
      <c r="A152" t="inlineStr">
        <is>
          <t>Pit Fighter|3</t>
        </is>
      </c>
      <c r="B152" t="inlineStr">
        <is>
          <t>Pit Fighter</t>
        </is>
      </c>
      <c r="C152" t="n">
        <v>3</v>
      </c>
      <c r="D152" t="inlineStr">
        <is>
          <t>Warrior</t>
        </is>
      </c>
      <c r="E152" t="inlineStr">
        <is>
          <t>Pit Champion</t>
        </is>
      </c>
      <c r="F152" t="inlineStr">
        <is>
          <t>Silver 5</t>
        </is>
      </c>
      <c r="G152" t="inlineStr">
        <is>
          <t>Gossip, Heal, Intuition, Perform (Acrobatics)</t>
        </is>
      </c>
      <c r="H152" t="inlineStr">
        <is>
          <t>Ambidextrous, Combat Master, Disarm, Robust</t>
        </is>
      </c>
      <c r="I152" t="inlineStr">
        <is>
          <t>Breastplate, Helmet</t>
        </is>
      </c>
      <c r="J152" t="inlineStr">
        <is>
          <t>|Athletics|Consume Alcohol|Cool|Dodge|Endurance|Entertain (Taunt)|Gamble|Intimidate|Melee (any)|Melee (Brawling)|Haggle|Melee (Basic)|Melee (Flail)|Melee (Two-handed)|Perception|Perform (Fight)|Ranged (Entangling)|Gossip|Heal|Intuition|Perform (Acrobatics)|</t>
        </is>
      </c>
      <c r="K152" t="inlineStr">
        <is>
          <t>|Dirty Fighting|Enclosed Fighter|In-fighter|Iron Jaw|Combat Reflexes|Dual Wielder|Menacing|Shieldsman|Ambidextrous|Combat Master|Disarm|Robust|</t>
        </is>
      </c>
      <c r="L152" t="inlineStr">
        <is>
          <t>You fight for money, for glory, and for the entertainment of the masses.</t>
        </is>
      </c>
      <c r="M152" t="inlineStr">
        <is>
          <t>Melee (Any One)</t>
        </is>
      </c>
      <c r="N152" t="inlineStr">
        <is>
          <t>Dwarf, Halfling, High Elf, Human, Wood Elf</t>
        </is>
      </c>
      <c r="O152" t="n">
        <v>82</v>
      </c>
      <c r="P152" t="n">
        <v>1</v>
      </c>
      <c r="R152" t="n">
        <v>1</v>
      </c>
      <c r="S152" t="n">
        <v>1</v>
      </c>
      <c r="T152" t="n">
        <v>2</v>
      </c>
      <c r="U152" t="n">
        <v>3</v>
      </c>
      <c r="Y152" t="n">
        <v>4</v>
      </c>
    </row>
    <row r="153">
      <c r="A153" t="inlineStr">
        <is>
          <t>Pit Fighter|4</t>
        </is>
      </c>
      <c r="B153" t="inlineStr">
        <is>
          <t>Pit Fighter</t>
        </is>
      </c>
      <c r="C153" t="n">
        <v>4</v>
      </c>
      <c r="D153" t="inlineStr">
        <is>
          <t>Warrior</t>
        </is>
      </c>
      <c r="E153" t="inlineStr">
        <is>
          <t>Pit Legend</t>
        </is>
      </c>
      <c r="F153" t="inlineStr">
        <is>
          <t>Gold 2</t>
        </is>
      </c>
      <c r="G153" t="inlineStr">
        <is>
          <t>Charm, Ranged (Any One)</t>
        </is>
      </c>
      <c r="H153" t="inlineStr">
        <is>
          <t>Frightening, Furious Assault, Implacable, Reaction Strike</t>
        </is>
      </c>
      <c r="I153" t="inlineStr">
        <is>
          <t>Quality Helmet</t>
        </is>
      </c>
      <c r="J153" t="inlineStr">
        <is>
          <t>|Athletics|Consume Alcohol|Cool|Dodge|Endurance|Entertain (Taunt)|Gamble|Intimidate|Melee (any)|Melee (Brawling)|Haggle|Melee (Basic)|Melee (Flail)|Melee (Two-handed)|Perception|Perform (Fight)|Ranged (Entangling)|Gossip|Heal|Intuition|Perform (Acrobatics)|Charm|Ranged (any)|</t>
        </is>
      </c>
      <c r="K153" t="inlineStr">
        <is>
          <t>|Dirty Fighting|Enclosed Fighter|In-fighter|Iron Jaw|Combat Reflexes|Dual Wielder|Menacing|Shieldsman|Ambidextrous|Combat Master|Disarm|Robust|Frightening|Furious Assault|Implacable|Reaction Strike|</t>
        </is>
      </c>
      <c r="L153" t="inlineStr">
        <is>
          <t>You fight for money, for glory, and for the entertainment of the masses.</t>
        </is>
      </c>
      <c r="M153" t="inlineStr">
        <is>
          <t>Melee (Any One)</t>
        </is>
      </c>
      <c r="N153" t="inlineStr">
        <is>
          <t>Dwarf, Halfling, High Elf, Human, Wood Elf</t>
        </is>
      </c>
      <c r="O153" t="n">
        <v>82</v>
      </c>
      <c r="P153" t="n">
        <v>1</v>
      </c>
      <c r="R153" t="n">
        <v>1</v>
      </c>
      <c r="S153" t="n">
        <v>1</v>
      </c>
      <c r="T153" t="n">
        <v>2</v>
      </c>
      <c r="U153" t="n">
        <v>3</v>
      </c>
      <c r="Y153" t="n">
        <v>4</v>
      </c>
    </row>
    <row r="154">
      <c r="A154" t="inlineStr">
        <is>
          <t>Priest|1</t>
        </is>
      </c>
      <c r="B154" t="inlineStr">
        <is>
          <t>Priest</t>
        </is>
      </c>
      <c r="C154" t="n">
        <v>1</v>
      </c>
      <c r="D154" t="inlineStr">
        <is>
          <t>Academic</t>
        </is>
      </c>
      <c r="E154" t="inlineStr">
        <is>
          <t>Initiate</t>
        </is>
      </c>
      <c r="F154" t="inlineStr">
        <is>
          <t>Brass 2</t>
        </is>
      </c>
      <c r="G154" t="inlineStr">
        <is>
          <t>Charm, Cool, Endurance, Entertain (Storytelling), Heal, Intuition, Language (Classical), Lore (Theology), Pray, Research</t>
        </is>
      </c>
      <c r="H154" t="inlineStr">
        <is>
          <t>Bless (Any One), Holy Visions, Read/Write, Suave</t>
        </is>
      </c>
      <c r="I154" t="inlineStr">
        <is>
          <t>Religious Symbol, Robes</t>
        </is>
      </c>
      <c r="J154" t="inlineStr">
        <is>
          <t>|Charm|Cool|Endurance|Entertain (Storytelling)|Heal|Intuition|Language (Classical)|Lore (Theology)|Pray|Research|</t>
        </is>
      </c>
      <c r="K154" t="inlineStr">
        <is>
          <t>|Bless (any)|Holy Visions|Read/Write|Suave|</t>
        </is>
      </c>
      <c r="L154" t="inlineStr">
        <is>
          <t>You preach the word of your god, tending to the spiritual needs of the masses.</t>
        </is>
      </c>
      <c r="M154" t="inlineStr">
        <is>
          <t>Pray</t>
        </is>
      </c>
      <c r="N154" t="inlineStr">
        <is>
          <t>Human</t>
        </is>
      </c>
      <c r="O154" t="n">
        <v>83</v>
      </c>
      <c r="S154" t="n">
        <v>3</v>
      </c>
      <c r="T154" t="n">
        <v>4</v>
      </c>
      <c r="U154" t="n">
        <v>2</v>
      </c>
      <c r="W154" t="n">
        <v>1</v>
      </c>
      <c r="X154" t="n">
        <v>1</v>
      </c>
      <c r="Y154" t="n">
        <v>1</v>
      </c>
    </row>
    <row r="155">
      <c r="A155" t="inlineStr">
        <is>
          <t>Priest|2</t>
        </is>
      </c>
      <c r="B155" t="inlineStr">
        <is>
          <t>Priest</t>
        </is>
      </c>
      <c r="C155" t="n">
        <v>2</v>
      </c>
      <c r="D155" t="inlineStr">
        <is>
          <t>Academic</t>
        </is>
      </c>
      <c r="E155" t="inlineStr">
        <is>
          <t>Priest</t>
        </is>
      </c>
      <c r="F155" t="inlineStr">
        <is>
          <t>Silver 2</t>
        </is>
      </c>
      <c r="G155" t="inlineStr">
        <is>
          <t>Gossip, Intimidate, Leadership, Lore (Any One), Melee (Basic), Outdoor Survival</t>
        </is>
      </c>
      <c r="H155" t="inlineStr">
        <is>
          <t>Blather, Bookish, Etiquette (Cultists), Invoke (Any One)</t>
        </is>
      </c>
      <c r="I155" t="inlineStr">
        <is>
          <t>Book (Religion), Ceremonial Robes</t>
        </is>
      </c>
      <c r="J155" t="inlineStr">
        <is>
          <t>|Charm|Cool|Endurance|Entertain (Storytelling)|Heal|Intuition|Language (Classical)|Lore (Theology)|Pray|Research|Gossip|Intimidate|Leadership|Lore (any)|Melee (Basic)|Outdoor Survival|</t>
        </is>
      </c>
      <c r="K155" t="inlineStr">
        <is>
          <t>|Bless (any)|Holy Visions|Read/Write|Suave|Blather|Bookish|Etiquette (Cultists)|Invoke (any)|</t>
        </is>
      </c>
      <c r="L155" t="inlineStr">
        <is>
          <t>You preach the word of your god, tending to the spiritual needs of the masses.</t>
        </is>
      </c>
      <c r="M155" t="inlineStr">
        <is>
          <t>Pray</t>
        </is>
      </c>
      <c r="N155" t="inlineStr">
        <is>
          <t>Human</t>
        </is>
      </c>
      <c r="O155" t="n">
        <v>83</v>
      </c>
      <c r="S155" t="n">
        <v>3</v>
      </c>
      <c r="T155" t="n">
        <v>4</v>
      </c>
      <c r="U155" t="n">
        <v>2</v>
      </c>
      <c r="W155" t="n">
        <v>1</v>
      </c>
      <c r="X155" t="n">
        <v>1</v>
      </c>
      <c r="Y155" t="n">
        <v>1</v>
      </c>
    </row>
    <row r="156">
      <c r="A156" t="inlineStr">
        <is>
          <t>Priest|3</t>
        </is>
      </c>
      <c r="B156" t="inlineStr">
        <is>
          <t>Priest</t>
        </is>
      </c>
      <c r="C156" t="n">
        <v>3</v>
      </c>
      <c r="D156" t="inlineStr">
        <is>
          <t>Academic</t>
        </is>
      </c>
      <c r="E156" t="inlineStr">
        <is>
          <t>High Priest</t>
        </is>
      </c>
      <c r="F156" t="inlineStr">
        <is>
          <t>Gold 1</t>
        </is>
      </c>
      <c r="G156" t="inlineStr">
        <is>
          <t>Art (Writing), Entertain (Speeches), Lore (Politics), Perception</t>
        </is>
      </c>
      <c r="H156" t="inlineStr">
        <is>
          <t>Acute Sense (Any One), Hatred (Any One), Impassioned Zeal, Strong-minded</t>
        </is>
      </c>
      <c r="I156" t="inlineStr">
        <is>
          <t>Quality Robes, Religious Relic, Subordinate Priests, Temple</t>
        </is>
      </c>
      <c r="J156" t="inlineStr">
        <is>
          <t>|Charm|Cool|Endurance|Entertain (Storytelling)|Heal|Intuition|Language (Classical)|Lore (Theology)|Pray|Research|Gossip|Intimidate|Leadership|Lore (any)|Melee (Basic)|Outdoor Survival|Art (Writing)|Entertain (Speeches)|Lore (Politics)|Perception|</t>
        </is>
      </c>
      <c r="K156" t="inlineStr">
        <is>
          <t>|Bless (any)|Holy Visions|Read/Write|Suave|Blather|Bookish|Etiquette (Cultists)|Invoke (any)|Acute Sense (any)|Hatred (any)|Impassioned Zeal|Strong-minded|</t>
        </is>
      </c>
      <c r="L156" t="inlineStr">
        <is>
          <t>You preach the word of your god, tending to the spiritual needs of the masses.</t>
        </is>
      </c>
      <c r="M156" t="inlineStr">
        <is>
          <t>Pray</t>
        </is>
      </c>
      <c r="N156" t="inlineStr">
        <is>
          <t>Human</t>
        </is>
      </c>
      <c r="O156" t="n">
        <v>83</v>
      </c>
      <c r="S156" t="n">
        <v>3</v>
      </c>
      <c r="T156" t="n">
        <v>4</v>
      </c>
      <c r="U156" t="n">
        <v>2</v>
      </c>
      <c r="W156" t="n">
        <v>1</v>
      </c>
      <c r="X156" t="n">
        <v>1</v>
      </c>
      <c r="Y156" t="n">
        <v>1</v>
      </c>
    </row>
    <row r="157">
      <c r="A157" t="inlineStr">
        <is>
          <t>Priest|4</t>
        </is>
      </c>
      <c r="B157" t="inlineStr">
        <is>
          <t>Priest</t>
        </is>
      </c>
      <c r="C157" t="n">
        <v>4</v>
      </c>
      <c r="D157" t="inlineStr">
        <is>
          <t>Academic</t>
        </is>
      </c>
      <c r="E157" t="inlineStr">
        <is>
          <t>Lector</t>
        </is>
      </c>
      <c r="F157" t="inlineStr">
        <is>
          <t>Gold 4</t>
        </is>
      </c>
      <c r="G157" t="inlineStr">
        <is>
          <t>Language (Any One), Lore (Heraldry)</t>
        </is>
      </c>
      <c r="H157" t="inlineStr">
        <is>
          <t>Master Orator, Pure Soul, Resistant (Any One), Savant (Theology)</t>
        </is>
      </c>
      <c r="I157" t="inlineStr">
        <is>
          <t>Library (Theology), Subordinate High Priests</t>
        </is>
      </c>
      <c r="J157" t="inlineStr">
        <is>
          <t>|Charm|Cool|Endurance|Entertain (Storytelling)|Heal|Intuition|Language (Classical)|Lore (Theology)|Pray|Research|Gossip|Intimidate|Leadership|Lore (any)|Melee (Basic)|Outdoor Survival|Art (Writing)|Entertain (Speeches)|Lore (Politics)|Perception|Language (any)|Lore (Heraldry)|</t>
        </is>
      </c>
      <c r="K157" t="inlineStr">
        <is>
          <t>|Bless (any)|Holy Visions|Read/Write|Suave|Blather|Bookish|Etiquette (Cultists)|Invoke (any)|Acute Sense (any)|Hatred (any)|Impassioned Zeal|Strong-minded|Master Orator|Pure Soul|Resistant (any)|Savant (Theology)|</t>
        </is>
      </c>
      <c r="L157" t="inlineStr">
        <is>
          <t>You preach the word of your god, tending to the spiritual needs of the masses.</t>
        </is>
      </c>
      <c r="M157" t="inlineStr">
        <is>
          <t>Pray</t>
        </is>
      </c>
      <c r="N157" t="inlineStr">
        <is>
          <t>Human</t>
        </is>
      </c>
      <c r="O157" t="n">
        <v>83</v>
      </c>
      <c r="S157" t="n">
        <v>3</v>
      </c>
      <c r="T157" t="n">
        <v>4</v>
      </c>
      <c r="U157" t="n">
        <v>2</v>
      </c>
      <c r="W157" t="n">
        <v>1</v>
      </c>
      <c r="X157" t="n">
        <v>1</v>
      </c>
      <c r="Y157" t="n">
        <v>1</v>
      </c>
    </row>
    <row r="158">
      <c r="A158" t="inlineStr">
        <is>
          <t>Protagonist|1</t>
        </is>
      </c>
      <c r="B158" t="inlineStr">
        <is>
          <t>Protagonist</t>
        </is>
      </c>
      <c r="C158" t="n">
        <v>1</v>
      </c>
      <c r="D158" t="inlineStr">
        <is>
          <t>Warrior</t>
        </is>
      </c>
      <c r="E158" t="inlineStr">
        <is>
          <t>Braggart</t>
        </is>
      </c>
      <c r="F158" t="inlineStr">
        <is>
          <t>Brass 3</t>
        </is>
      </c>
      <c r="G158" t="inlineStr">
        <is>
          <t>Athletics, Consume Alcohol, Cool, Dodge, Endurance, Entertain (Taunt), Gossip, Intimidate, Melee (Basic), Melee (Brawling)</t>
        </is>
      </c>
      <c r="H158" t="inlineStr">
        <is>
          <t>Criminal, Dirty Fighting, In-fighter, Menacing</t>
        </is>
      </c>
      <c r="I158" t="inlineStr">
        <is>
          <t>Hood or Mask, Knuckledusters, Leather Jack</t>
        </is>
      </c>
      <c r="J158" t="inlineStr">
        <is>
          <t>|Athletics|Consume Alcohol|Cool|Dodge|Endurance|Entertain (Taunt)|Gossip|Intimidate|Melee (Basic)|Melee (Brawling)|</t>
        </is>
      </c>
      <c r="K158" t="inlineStr">
        <is>
          <t>|Criminal|Dirty Fighting|In-fighter|Menacing|</t>
        </is>
      </c>
      <c r="L158" t="inlineStr">
        <is>
          <t>A strong-arm for hire, you bully, fight, and even kill for coin.</t>
        </is>
      </c>
      <c r="M158" t="inlineStr">
        <is>
          <t>Melee (Basic)</t>
        </is>
      </c>
      <c r="N158" t="inlineStr">
        <is>
          <t>Dwarf, Halfling, High Elf, Human</t>
        </is>
      </c>
      <c r="O158" t="n">
        <v>84</v>
      </c>
      <c r="P158" t="n">
        <v>1</v>
      </c>
      <c r="Q158" t="n">
        <v>3</v>
      </c>
      <c r="R158" t="n">
        <v>1</v>
      </c>
      <c r="S158" t="n">
        <v>1</v>
      </c>
      <c r="U158" t="n">
        <v>2</v>
      </c>
      <c r="Y158" t="n">
        <v>4</v>
      </c>
    </row>
    <row r="159">
      <c r="A159" t="inlineStr">
        <is>
          <t>Protagonist|2</t>
        </is>
      </c>
      <c r="B159" t="inlineStr">
        <is>
          <t>Protagonist</t>
        </is>
      </c>
      <c r="C159" t="n">
        <v>2</v>
      </c>
      <c r="D159" t="inlineStr">
        <is>
          <t>Warrior</t>
        </is>
      </c>
      <c r="E159" t="inlineStr">
        <is>
          <t>Protagonist</t>
        </is>
      </c>
      <c r="F159" t="inlineStr">
        <is>
          <t>Brass 5</t>
        </is>
      </c>
      <c r="G159" t="inlineStr">
        <is>
          <t>Bribery, Intuition, Perception, Pick Lock, Ride (Horse), Stealth (Any One)</t>
        </is>
      </c>
      <c r="H159" t="inlineStr">
        <is>
          <t>Combat Reflexes, Etiquette (Criminals), Strike to Stun, Warrior Born</t>
        </is>
      </c>
      <c r="I159" t="inlineStr">
        <is>
          <t>Mail Shirt, Riding Horse, Shield</t>
        </is>
      </c>
      <c r="J159" t="inlineStr">
        <is>
          <t>|Athletics|Consume Alcohol|Cool|Dodge|Endurance|Entertain (Taunt)|Gossip|Intimidate|Melee (Basic)|Melee (Brawling)|Bribery|Intuition|Perception|Pick Lock|Ride (Horse)|Stealth (any)|</t>
        </is>
      </c>
      <c r="K159" t="inlineStr">
        <is>
          <t>|Criminal|Dirty Fighting|In-fighter|Menacing|Combat Reflexes|Etiquette (Criminals)|Strike to Stun|Warrior Born|</t>
        </is>
      </c>
      <c r="L159" t="inlineStr">
        <is>
          <t>A strong-arm for hire, you bully, fight, and even kill for coin.</t>
        </is>
      </c>
      <c r="M159" t="inlineStr">
        <is>
          <t>Melee (Basic)</t>
        </is>
      </c>
      <c r="N159" t="inlineStr">
        <is>
          <t>Dwarf, Halfling, High Elf, Human</t>
        </is>
      </c>
      <c r="O159" t="n">
        <v>84</v>
      </c>
      <c r="P159" t="n">
        <v>1</v>
      </c>
      <c r="Q159" t="n">
        <v>3</v>
      </c>
      <c r="R159" t="n">
        <v>1</v>
      </c>
      <c r="S159" t="n">
        <v>1</v>
      </c>
      <c r="U159" t="n">
        <v>2</v>
      </c>
      <c r="Y159" t="n">
        <v>4</v>
      </c>
    </row>
    <row r="160">
      <c r="A160" t="inlineStr">
        <is>
          <t>Protagonist|3</t>
        </is>
      </c>
      <c r="B160" t="inlineStr">
        <is>
          <t>Protagonist</t>
        </is>
      </c>
      <c r="C160" t="n">
        <v>3</v>
      </c>
      <c r="D160" t="inlineStr">
        <is>
          <t>Warrior</t>
        </is>
      </c>
      <c r="E160" t="inlineStr">
        <is>
          <t>Hitman</t>
        </is>
      </c>
      <c r="F160" t="inlineStr">
        <is>
          <t>Silver 4</t>
        </is>
      </c>
      <c r="G160" t="inlineStr">
        <is>
          <t>Climb, Entertain (Acting), Ranged (Blackpowder or Crossbow or Throwing), Trade (Poisoner)</t>
        </is>
      </c>
      <c r="H160" t="inlineStr">
        <is>
          <t>Alley Cat, Careful Strike, Shadow, Strike to Injure</t>
        </is>
      </c>
      <c r="I160" t="inlineStr">
        <is>
          <t>Cloak, Crossbow with 10 Bolts or Pistol with 10 Shots or 5 Throwing Knives, Garotte, Poison</t>
        </is>
      </c>
      <c r="J160" t="inlineStr">
        <is>
          <t>|Athletics|Consume Alcohol|Cool|Dodge|Endurance|Entertain (Taunt)|Gossip|Intimidate|Melee (Basic)|Melee (Brawling)|Bribery|Intuition|Perception|Pick Lock|Ride (Horse)|Stealth (any)|Climb|Entertain (Acting)|Ranged (Blackpowder)|Ranged (Crossbow)|Ranged (Throwing)|Trade (Poisoner)|</t>
        </is>
      </c>
      <c r="K160" t="inlineStr">
        <is>
          <t>|Criminal|Dirty Fighting|In-fighter|Menacing|Combat Reflexes|Etiquette (Criminals)|Strike to Stun|Warrior Born|Alley Cat|Careful Strike|Shadow|Strike to Injure|</t>
        </is>
      </c>
      <c r="L160" t="inlineStr">
        <is>
          <t>A strong-arm for hire, you bully, fight, and even kill for coin.</t>
        </is>
      </c>
      <c r="M160" t="inlineStr">
        <is>
          <t>Melee (Basic)</t>
        </is>
      </c>
      <c r="N160" t="inlineStr">
        <is>
          <t>Dwarf, Halfling, High Elf, Human</t>
        </is>
      </c>
      <c r="O160" t="n">
        <v>84</v>
      </c>
      <c r="P160" t="n">
        <v>1</v>
      </c>
      <c r="Q160" t="n">
        <v>3</v>
      </c>
      <c r="R160" t="n">
        <v>1</v>
      </c>
      <c r="S160" t="n">
        <v>1</v>
      </c>
      <c r="U160" t="n">
        <v>2</v>
      </c>
      <c r="Y160" t="n">
        <v>4</v>
      </c>
    </row>
    <row r="161">
      <c r="A161" t="inlineStr">
        <is>
          <t>Protagonist|4</t>
        </is>
      </c>
      <c r="B161" t="inlineStr">
        <is>
          <t>Protagonist</t>
        </is>
      </c>
      <c r="C161" t="n">
        <v>4</v>
      </c>
      <c r="D161" t="inlineStr">
        <is>
          <t>Warrior</t>
        </is>
      </c>
      <c r="E161" t="inlineStr">
        <is>
          <t>Assassin</t>
        </is>
      </c>
      <c r="F161" t="inlineStr">
        <is>
          <t>Gold 1</t>
        </is>
      </c>
      <c r="G161" t="inlineStr">
        <is>
          <t>Animal Care, Charm</t>
        </is>
      </c>
      <c r="H161" t="inlineStr">
        <is>
          <t>Dual Wielder, Furious Assault, Mimic, Secret Identity</t>
        </is>
      </c>
      <c r="I161" t="inlineStr">
        <is>
          <t>Disguise Kit</t>
        </is>
      </c>
      <c r="J161" t="inlineStr">
        <is>
          <t>|Athletics|Consume Alcohol|Cool|Dodge|Endurance|Entertain (Taunt)|Gossip|Intimidate|Melee (Basic)|Melee (Brawling)|Bribery|Intuition|Perception|Pick Lock|Ride (Horse)|Stealth (any)|Climb|Entertain (Acting)|Ranged (Blackpowder)|Ranged (Crossbow)|Ranged (Throwing)|Trade (Poisoner)|Animal Care|Charm|</t>
        </is>
      </c>
      <c r="K161" t="inlineStr">
        <is>
          <t>|Criminal|Dirty Fighting|In-fighter|Menacing|Combat Reflexes|Etiquette (Criminals)|Strike to Stun|Warrior Born|Alley Cat|Careful Strike|Shadow|Strike to Injure|Dual Wielder|Furious Assault|Mimic|Secret Identity|</t>
        </is>
      </c>
      <c r="L161" t="inlineStr">
        <is>
          <t>A strong-arm for hire, you bully, fight, and even kill for coin.</t>
        </is>
      </c>
      <c r="M161" t="inlineStr">
        <is>
          <t>Melee (Basic)</t>
        </is>
      </c>
      <c r="N161" t="inlineStr">
        <is>
          <t>Dwarf, Halfling, High Elf, Human</t>
        </is>
      </c>
      <c r="O161" t="n">
        <v>84</v>
      </c>
      <c r="P161" t="n">
        <v>1</v>
      </c>
      <c r="Q161" t="n">
        <v>3</v>
      </c>
      <c r="R161" t="n">
        <v>1</v>
      </c>
      <c r="S161" t="n">
        <v>1</v>
      </c>
      <c r="U161" t="n">
        <v>2</v>
      </c>
      <c r="Y161" t="n">
        <v>4</v>
      </c>
    </row>
    <row r="162">
      <c r="A162" t="inlineStr">
        <is>
          <t>Racketeer|1</t>
        </is>
      </c>
      <c r="B162" t="inlineStr">
        <is>
          <t>Racketeer</t>
        </is>
      </c>
      <c r="C162" t="n">
        <v>1</v>
      </c>
      <c r="D162" t="inlineStr">
        <is>
          <t>Rogue</t>
        </is>
      </c>
      <c r="E162" t="inlineStr">
        <is>
          <t>Thug</t>
        </is>
      </c>
      <c r="F162" t="inlineStr">
        <is>
          <t>Brass 3</t>
        </is>
      </c>
      <c r="G162" t="inlineStr">
        <is>
          <t>Consume Alcohol, Cool, Dodge, Endurance, Gamble, Intimidate, Lore (Local), Melee (Basic), Melee (Brawling), Stealth (Urban)</t>
        </is>
      </c>
      <c r="H162" t="inlineStr">
        <is>
          <t>Break and Enter, Criminal, Dirty Fighting, Menacing</t>
        </is>
      </c>
      <c r="I162" t="inlineStr">
        <is>
          <t>Hand Weapon, Knuckledusters, Leather Jack</t>
        </is>
      </c>
      <c r="J162" t="inlineStr">
        <is>
          <t>|Consume Alcohol|Cool|Dodge|Endurance|Gamble|Intimidate|Lore (Local)|Melee (Basic)|Melee (Brawling)|Stealth (Urban)|</t>
        </is>
      </c>
      <c r="K162" t="inlineStr">
        <is>
          <t>|Break and Enter|Criminal|Dirty Fighting|Menacing|</t>
        </is>
      </c>
      <c r="L162" t="inlineStr">
        <is>
          <t>You are part of an organised criminal gang, collecting debts and extorting money from the vulnerable.</t>
        </is>
      </c>
      <c r="M162" t="inlineStr">
        <is>
          <t>Intimidate</t>
        </is>
      </c>
      <c r="N162" t="inlineStr">
        <is>
          <t>Dwarf, Halfling, Human</t>
        </is>
      </c>
      <c r="O162" t="n">
        <v>85</v>
      </c>
      <c r="P162" t="n">
        <v>1</v>
      </c>
      <c r="R162" t="n">
        <v>1</v>
      </c>
      <c r="S162" t="n">
        <v>1</v>
      </c>
      <c r="T162" t="n">
        <v>2</v>
      </c>
      <c r="W162" t="n">
        <v>4</v>
      </c>
      <c r="X162" t="n">
        <v>3</v>
      </c>
    </row>
    <row r="163">
      <c r="A163" t="inlineStr">
        <is>
          <t>Racketeer|2</t>
        </is>
      </c>
      <c r="B163" t="inlineStr">
        <is>
          <t>Racketeer</t>
        </is>
      </c>
      <c r="C163" t="n">
        <v>2</v>
      </c>
      <c r="D163" t="inlineStr">
        <is>
          <t>Rogue</t>
        </is>
      </c>
      <c r="E163" t="inlineStr">
        <is>
          <t>Racketeer</t>
        </is>
      </c>
      <c r="F163" t="inlineStr">
        <is>
          <t>Brass 5</t>
        </is>
      </c>
      <c r="G163" t="inlineStr">
        <is>
          <t>Bribery, Climb, Gossip, Language (Thieves Tongue), Perception, Secret Signs (Thief)</t>
        </is>
      </c>
      <c r="H163" t="inlineStr">
        <is>
          <t>Alley Cat, Embezzle, Etiquette (Criminals), Strike to Stun</t>
        </is>
      </c>
      <c r="I163" t="inlineStr">
        <is>
          <t>Hat, Mail Shirt</t>
        </is>
      </c>
      <c r="J163" t="inlineStr">
        <is>
          <t>|Consume Alcohol|Cool|Dodge|Endurance|Gamble|Intimidate|Lore (Local)|Melee (Basic)|Melee (Brawling)|Stealth (Urban)|Bribery|Climb|Gossip|Language (Thieves Tongue)|Perception|Secret Signs (Thief)|</t>
        </is>
      </c>
      <c r="K163" t="inlineStr">
        <is>
          <t>|Break and Enter|Criminal|Dirty Fighting|Menacing|Alley Cat|Embezzle|Etiquette (Criminals)|Strike to Stun|</t>
        </is>
      </c>
      <c r="L163" t="inlineStr">
        <is>
          <t>You are part of an organised criminal gang, collecting debts and extorting money from the vulnerable.</t>
        </is>
      </c>
      <c r="M163" t="inlineStr">
        <is>
          <t>Intimidate</t>
        </is>
      </c>
      <c r="N163" t="inlineStr">
        <is>
          <t>Dwarf, Halfling, Human</t>
        </is>
      </c>
      <c r="O163" t="n">
        <v>85</v>
      </c>
      <c r="P163" t="n">
        <v>1</v>
      </c>
      <c r="R163" t="n">
        <v>1</v>
      </c>
      <c r="S163" t="n">
        <v>1</v>
      </c>
      <c r="T163" t="n">
        <v>2</v>
      </c>
      <c r="W163" t="n">
        <v>4</v>
      </c>
      <c r="X163" t="n">
        <v>3</v>
      </c>
    </row>
    <row r="164">
      <c r="A164" t="inlineStr">
        <is>
          <t>Racketeer|3</t>
        </is>
      </c>
      <c r="B164" t="inlineStr">
        <is>
          <t>Racketeer</t>
        </is>
      </c>
      <c r="C164" t="n">
        <v>3</v>
      </c>
      <c r="D164" t="inlineStr">
        <is>
          <t>Rogue</t>
        </is>
      </c>
      <c r="E164" t="inlineStr">
        <is>
          <t>Gang Boss</t>
        </is>
      </c>
      <c r="F164" t="inlineStr">
        <is>
          <t>Silver 3</t>
        </is>
      </c>
      <c r="G164" t="inlineStr">
        <is>
          <t>Charm, Intuition, Leadership, Ranged (Crossbow)</t>
        </is>
      </c>
      <c r="H164" t="inlineStr">
        <is>
          <t>Fearless (Watchmen), Nose for Trouble, Numismatics, Robust</t>
        </is>
      </c>
      <c r="I164" t="inlineStr">
        <is>
          <t>Crossbow Pistol with 10 Bolts, Gang of Thugs and Racketeers, Lair</t>
        </is>
      </c>
      <c r="J164" t="inlineStr">
        <is>
          <t>|Consume Alcohol|Cool|Dodge|Endurance|Gamble|Intimidate|Lore (Local)|Melee (Basic)|Melee (Brawling)|Stealth (Urban)|Bribery|Climb|Gossip|Language (Thieves Tongue)|Perception|Secret Signs (Thief)|Charm|Intuition|Leadership|Ranged (Crossbow)|</t>
        </is>
      </c>
      <c r="K164" t="inlineStr">
        <is>
          <t>|Break and Enter|Criminal|Dirty Fighting|Menacing|Alley Cat|Embezzle|Etiquette (Criminals)|Strike to Stun|Fearless (Watchmen)|Nose for Trouble|Numismatics|Robust|</t>
        </is>
      </c>
      <c r="L164" t="inlineStr">
        <is>
          <t>You are part of an organised criminal gang, collecting debts and extorting money from the vulnerable.</t>
        </is>
      </c>
      <c r="M164" t="inlineStr">
        <is>
          <t>Intimidate</t>
        </is>
      </c>
      <c r="N164" t="inlineStr">
        <is>
          <t>Dwarf, Halfling, Human</t>
        </is>
      </c>
      <c r="O164" t="n">
        <v>85</v>
      </c>
      <c r="P164" t="n">
        <v>1</v>
      </c>
      <c r="R164" t="n">
        <v>1</v>
      </c>
      <c r="S164" t="n">
        <v>1</v>
      </c>
      <c r="T164" t="n">
        <v>2</v>
      </c>
      <c r="W164" t="n">
        <v>4</v>
      </c>
      <c r="X164" t="n">
        <v>3</v>
      </c>
    </row>
    <row r="165">
      <c r="A165" t="inlineStr">
        <is>
          <t>Racketeer|4</t>
        </is>
      </c>
      <c r="B165" t="inlineStr">
        <is>
          <t>Racketeer</t>
        </is>
      </c>
      <c r="C165" t="n">
        <v>4</v>
      </c>
      <c r="D165" t="inlineStr">
        <is>
          <t>Rogue</t>
        </is>
      </c>
      <c r="E165" t="inlineStr">
        <is>
          <t>Crime Lord</t>
        </is>
      </c>
      <c r="F165" t="inlineStr">
        <is>
          <t>Gold 1</t>
        </is>
      </c>
      <c r="G165" t="inlineStr">
        <is>
          <t>Lore (Law), Lore (Politics)</t>
        </is>
      </c>
      <c r="H165" t="inlineStr">
        <is>
          <t>Commanding Presence, Frightening, Iron Will, Kingpin</t>
        </is>
      </c>
      <c r="I165" t="inlineStr">
        <is>
          <t>Network of Informers, Quality Clothing and Hat, Subordinate Gang Bosses</t>
        </is>
      </c>
      <c r="J165" t="inlineStr">
        <is>
          <t>|Consume Alcohol|Cool|Dodge|Endurance|Gamble|Intimidate|Lore (Local)|Melee (Basic)|Melee (Brawling)|Stealth (Urban)|Bribery|Climb|Gossip|Language (Thieves Tongue)|Perception|Secret Signs (Thief)|Charm|Intuition|Leadership|Ranged (Crossbow)|Lore (Law)|Lore (Politics)|</t>
        </is>
      </c>
      <c r="K165" t="inlineStr">
        <is>
          <t>|Break and Enter|Criminal|Dirty Fighting|Menacing|Alley Cat|Embezzle|Etiquette (Criminals)|Strike to Stun|Fearless (Watchmen)|Nose for Trouble|Numismatics|Robust|Commanding Presence|Frightening|Iron Will|Kingpin|</t>
        </is>
      </c>
      <c r="L165" t="inlineStr">
        <is>
          <t>You are part of an organised criminal gang, collecting debts and extorting money from the vulnerable.</t>
        </is>
      </c>
      <c r="M165" t="inlineStr">
        <is>
          <t>Intimidate</t>
        </is>
      </c>
      <c r="N165" t="inlineStr">
        <is>
          <t>Dwarf, Halfling, Human</t>
        </is>
      </c>
      <c r="O165" t="n">
        <v>85</v>
      </c>
      <c r="P165" t="n">
        <v>1</v>
      </c>
      <c r="R165" t="n">
        <v>1</v>
      </c>
      <c r="S165" t="n">
        <v>1</v>
      </c>
      <c r="T165" t="n">
        <v>2</v>
      </c>
      <c r="W165" t="n">
        <v>4</v>
      </c>
      <c r="X165" t="n">
        <v>3</v>
      </c>
    </row>
    <row r="166">
      <c r="A166" t="inlineStr">
        <is>
          <t>Rat Catcher|1</t>
        </is>
      </c>
      <c r="B166" t="inlineStr">
        <is>
          <t>Rat Catcher</t>
        </is>
      </c>
      <c r="C166" t="n">
        <v>1</v>
      </c>
      <c r="D166" t="inlineStr">
        <is>
          <t>Burgher</t>
        </is>
      </c>
      <c r="E166" t="inlineStr">
        <is>
          <t>Rat Hunter</t>
        </is>
      </c>
      <c r="F166" t="inlineStr">
        <is>
          <t>Brass 3</t>
        </is>
      </c>
      <c r="G166" t="inlineStr">
        <is>
          <t>Animal Care, Animal Training (Dog), Charm Animal, Endurance, Haggle, Melee (Basic), Perception, Set Trap, Stealth (Underground), Stealth (Urban)</t>
        </is>
      </c>
      <c r="H166" t="inlineStr">
        <is>
          <t>Enclosed Fighter, Night Vision, Resistant (Disease), Trapper</t>
        </is>
      </c>
      <c r="I166" t="inlineStr">
        <is>
          <t>Hand Weapon, Sack, Small Animal Traps, Small but Vicious Dog</t>
        </is>
      </c>
      <c r="J166" t="inlineStr">
        <is>
          <t>|Animal Care|Animal Training (Dog)|Charm Animal|Endurance|Haggle|Melee (Basic)|Perception|Set Trap|Stealth (Underground)|Stealth (Urban)|</t>
        </is>
      </c>
      <c r="K166" t="inlineStr">
        <is>
          <t>|Enclosed Fighter|Night Vision|Resistant (Disease)|Trapper|</t>
        </is>
      </c>
      <c r="L166" t="inlineStr">
        <is>
          <t>You protect civilisation from being overrun by vermin, helped by your trusty canine companion.</t>
        </is>
      </c>
      <c r="M166" t="inlineStr">
        <is>
          <t>Set Trap</t>
        </is>
      </c>
      <c r="N166" t="inlineStr">
        <is>
          <t>Dwarf, Halfling, Human</t>
        </is>
      </c>
      <c r="O166" t="n">
        <v>86</v>
      </c>
      <c r="P166" t="n">
        <v>1</v>
      </c>
      <c r="R166" t="n">
        <v>4</v>
      </c>
      <c r="S166" t="n">
        <v>1</v>
      </c>
      <c r="T166" t="n">
        <v>2</v>
      </c>
      <c r="V166" t="n">
        <v>1</v>
      </c>
      <c r="X166" t="n">
        <v>3</v>
      </c>
    </row>
    <row r="167">
      <c r="A167" t="inlineStr">
        <is>
          <t>Rat Catcher|2</t>
        </is>
      </c>
      <c r="B167" t="inlineStr">
        <is>
          <t>Rat Catcher</t>
        </is>
      </c>
      <c r="C167" t="n">
        <v>2</v>
      </c>
      <c r="D167" t="inlineStr">
        <is>
          <t>Burgher</t>
        </is>
      </c>
      <c r="E167" t="inlineStr">
        <is>
          <t>Rat Catcher</t>
        </is>
      </c>
      <c r="F167" t="inlineStr">
        <is>
          <t>Brass 5</t>
        </is>
      </c>
      <c r="G167" t="inlineStr">
        <is>
          <t>Drive, Gossip, Language (Guilder), Lore (Rats), Track, Trade (Poisoner)</t>
        </is>
      </c>
      <c r="H167" t="inlineStr">
        <is>
          <t>Acute Sense (Hearing), Etiquette (Guilder), Fearless (Rats), Tunnel Fighter</t>
        </is>
      </c>
      <c r="I167" t="inlineStr">
        <is>
          <t>Pole for Dead Rats, Rat Poison</t>
        </is>
      </c>
      <c r="J167" t="inlineStr">
        <is>
          <t>|Animal Care|Animal Training (Dog)|Charm Animal|Endurance|Haggle|Melee (Basic)|Perception|Set Trap|Stealth (Underground)|Stealth (Urban)|Drive|Gossip|Language (Guilder)|Lore (Rats)|Track|Trade (Poisoner)|</t>
        </is>
      </c>
      <c r="K167" t="inlineStr">
        <is>
          <t>|Enclosed Fighter|Night Vision|Resistant (Disease)|Trapper|Acute Sense (Hearing)|Etiquette (Guilder)|Fearless (Rats)|Tunnel Fighter|</t>
        </is>
      </c>
      <c r="L167" t="inlineStr">
        <is>
          <t>You protect civilisation from being overrun by vermin, helped by your trusty canine companion.</t>
        </is>
      </c>
      <c r="M167" t="inlineStr">
        <is>
          <t>Set Trap</t>
        </is>
      </c>
      <c r="N167" t="inlineStr">
        <is>
          <t>Dwarf, Halfling, Human</t>
        </is>
      </c>
      <c r="O167" t="n">
        <v>86</v>
      </c>
      <c r="P167" t="n">
        <v>1</v>
      </c>
      <c r="R167" t="n">
        <v>4</v>
      </c>
      <c r="S167" t="n">
        <v>1</v>
      </c>
      <c r="T167" t="n">
        <v>2</v>
      </c>
      <c r="V167" t="n">
        <v>1</v>
      </c>
      <c r="X167" t="n">
        <v>3</v>
      </c>
    </row>
    <row r="168">
      <c r="A168" t="inlineStr">
        <is>
          <t>Rat Catcher|3</t>
        </is>
      </c>
      <c r="B168" t="inlineStr">
        <is>
          <t>Rat Catcher</t>
        </is>
      </c>
      <c r="C168" t="n">
        <v>3</v>
      </c>
      <c r="D168" t="inlineStr">
        <is>
          <t>Burgher</t>
        </is>
      </c>
      <c r="E168" t="inlineStr">
        <is>
          <t>Sewer Jack</t>
        </is>
      </c>
      <c r="F168" t="inlineStr">
        <is>
          <t>Silver 2</t>
        </is>
      </c>
      <c r="G168" t="inlineStr">
        <is>
          <t>Cool, Dodge, Intimidate, Ranged (Crossbow)</t>
        </is>
      </c>
      <c r="H168" t="inlineStr">
        <is>
          <t>Hardy, Stout-hearted, Strike to Injure, Very Resilient</t>
        </is>
      </c>
      <c r="I168" t="inlineStr">
        <is>
          <t>Crossbow with 10 Bolts or Spear, Feinkopf Lantern, Leather Jack</t>
        </is>
      </c>
      <c r="J168" t="inlineStr">
        <is>
          <t>|Animal Care|Animal Training (Dog)|Charm Animal|Endurance|Haggle|Melee (Basic)|Perception|Set Trap|Stealth (Underground)|Stealth (Urban)|Drive|Gossip|Language (Guilder)|Lore (Rats)|Track|Trade (Poisoner)|Cool|Dodge|Intimidate|Ranged (Crossbow)|</t>
        </is>
      </c>
      <c r="K168" t="inlineStr">
        <is>
          <t>|Enclosed Fighter|Night Vision|Resistant (Disease)|Trapper|Acute Sense (Hearing)|Etiquette (Guilder)|Fearless (Rats)|Tunnel Fighter|Hardy|Stout-hearted|Strike to Injure|Very Resilient|</t>
        </is>
      </c>
      <c r="L168" t="inlineStr">
        <is>
          <t>You protect civilisation from being overrun by vermin, helped by your trusty canine companion.</t>
        </is>
      </c>
      <c r="M168" t="inlineStr">
        <is>
          <t>Set Trap</t>
        </is>
      </c>
      <c r="N168" t="inlineStr">
        <is>
          <t>Dwarf, Halfling, Human</t>
        </is>
      </c>
      <c r="O168" t="n">
        <v>86</v>
      </c>
      <c r="P168" t="n">
        <v>1</v>
      </c>
      <c r="R168" t="n">
        <v>4</v>
      </c>
      <c r="S168" t="n">
        <v>1</v>
      </c>
      <c r="T168" t="n">
        <v>2</v>
      </c>
      <c r="V168" t="n">
        <v>1</v>
      </c>
      <c r="X168" t="n">
        <v>3</v>
      </c>
    </row>
    <row r="169">
      <c r="A169" t="inlineStr">
        <is>
          <t>Rat Catcher|4</t>
        </is>
      </c>
      <c r="B169" t="inlineStr">
        <is>
          <t>Rat Catcher</t>
        </is>
      </c>
      <c r="C169" t="n">
        <v>4</v>
      </c>
      <c r="D169" t="inlineStr">
        <is>
          <t>Burgher</t>
        </is>
      </c>
      <c r="E169" t="inlineStr">
        <is>
          <t>Exterminator</t>
        </is>
      </c>
      <c r="F169" t="inlineStr">
        <is>
          <t>Silver 3</t>
        </is>
      </c>
      <c r="G169" t="inlineStr">
        <is>
          <t>Leadership, Navigation</t>
        </is>
      </c>
      <c r="H169" t="inlineStr">
        <is>
          <t>Menacing, Resistant (Poison), Robust, Strong-minded</t>
        </is>
      </c>
      <c r="I169" t="inlineStr">
        <is>
          <t>Assistant, Sack of Poisoned Bait</t>
        </is>
      </c>
      <c r="J169" t="inlineStr">
        <is>
          <t>|Animal Care|Animal Training (Dog)|Charm Animal|Endurance|Haggle|Melee (Basic)|Perception|Set Trap|Stealth (Underground)|Stealth (Urban)|Drive|Gossip|Language (Guilder)|Lore (Rats)|Track|Trade (Poisoner)|Cool|Dodge|Intimidate|Ranged (Crossbow)|Leadership|Navigation|</t>
        </is>
      </c>
      <c r="K169" t="inlineStr">
        <is>
          <t>|Enclosed Fighter|Night Vision|Resistant (Disease)|Trapper|Acute Sense (Hearing)|Etiquette (Guilder)|Fearless (Rats)|Tunnel Fighter|Hardy|Stout-hearted|Strike to Injure|Very Resilient|Menacing|Resistant (Poison)|Robust|Strong-minded|</t>
        </is>
      </c>
      <c r="L169" t="inlineStr">
        <is>
          <t>You protect civilisation from being overrun by vermin, helped by your trusty canine companion.</t>
        </is>
      </c>
      <c r="M169" t="inlineStr">
        <is>
          <t>Set Trap</t>
        </is>
      </c>
      <c r="N169" t="inlineStr">
        <is>
          <t>Dwarf, Halfling, Human</t>
        </is>
      </c>
      <c r="O169" t="n">
        <v>86</v>
      </c>
      <c r="P169" t="n">
        <v>1</v>
      </c>
      <c r="R169" t="n">
        <v>4</v>
      </c>
      <c r="S169" t="n">
        <v>1</v>
      </c>
      <c r="T169" t="n">
        <v>2</v>
      </c>
      <c r="V169" t="n">
        <v>1</v>
      </c>
      <c r="X169" t="n">
        <v>3</v>
      </c>
    </row>
    <row r="170">
      <c r="A170" t="inlineStr">
        <is>
          <t>Riverwarden|1</t>
        </is>
      </c>
      <c r="B170" t="inlineStr">
        <is>
          <t>Riverwarden</t>
        </is>
      </c>
      <c r="C170" t="n">
        <v>1</v>
      </c>
      <c r="D170" t="inlineStr">
        <is>
          <t>Riverfolk</t>
        </is>
      </c>
      <c r="E170" t="inlineStr">
        <is>
          <t>River Recruit</t>
        </is>
      </c>
      <c r="F170" t="inlineStr">
        <is>
          <t>Brass 4</t>
        </is>
      </c>
      <c r="G170" t="inlineStr">
        <is>
          <t>Athletics, Consume Alcohol, Cool, Dodge, Endurance, Melee (Basic), Perception, Row, Sail, Swim</t>
        </is>
      </c>
      <c r="H170" t="inlineStr">
        <is>
          <t>Strong Back, Strong Swimmer, Very Strong, Waterman</t>
        </is>
      </c>
      <c r="I170" t="inlineStr">
        <is>
          <t>Hand Weapon, Leather Jack, Uniform</t>
        </is>
      </c>
      <c r="J170" t="inlineStr">
        <is>
          <t>|Athletics|Consume Alcohol|Cool|Dodge|Endurance|Melee (Basic)|Perception|Row|Sail|Swim|</t>
        </is>
      </c>
      <c r="K170" t="inlineStr">
        <is>
          <t>|Strong Back|Strong Swimmer|Very Strong|Waterman|</t>
        </is>
      </c>
      <c r="L170" t="inlineStr">
        <is>
          <t>Resolute and vigilant, you patrol the riverways in pursuit of lawbreakers and troublemakers.</t>
        </is>
      </c>
      <c r="M170" t="inlineStr">
        <is>
          <t>Melee (Basic)</t>
        </is>
      </c>
      <c r="N170" t="inlineStr">
        <is>
          <t>Dwarf, Halfling, Human</t>
        </is>
      </c>
      <c r="O170" t="n">
        <v>87</v>
      </c>
      <c r="P170" t="n">
        <v>1</v>
      </c>
      <c r="Q170" t="n">
        <v>2</v>
      </c>
      <c r="R170" t="n">
        <v>1</v>
      </c>
      <c r="T170" t="n">
        <v>3</v>
      </c>
      <c r="W170" t="n">
        <v>4</v>
      </c>
      <c r="Y170" t="n">
        <v>1</v>
      </c>
    </row>
    <row r="171">
      <c r="A171" t="inlineStr">
        <is>
          <t>Riverwarden|2</t>
        </is>
      </c>
      <c r="B171" t="inlineStr">
        <is>
          <t>Riverwarden</t>
        </is>
      </c>
      <c r="C171" t="n">
        <v>2</v>
      </c>
      <c r="D171" t="inlineStr">
        <is>
          <t>Riverfolk</t>
        </is>
      </c>
      <c r="E171" t="inlineStr">
        <is>
          <t>Riverwarden</t>
        </is>
      </c>
      <c r="F171" t="inlineStr">
        <is>
          <t>Silver 2</t>
        </is>
      </c>
      <c r="G171" t="inlineStr">
        <is>
          <t>Charm, Climb, Gossip, Intimidate, Intuition, Ranged (Blackpowder)</t>
        </is>
      </c>
      <c r="H171" t="inlineStr">
        <is>
          <t>Criminal, Gunner, Night Vision, Seasoned Traveller</t>
        </is>
      </c>
      <c r="I171" t="inlineStr">
        <is>
          <t>Lantern and Oil, Pistol with 10 Shots, Shield</t>
        </is>
      </c>
      <c r="J171" t="inlineStr">
        <is>
          <t>|Athletics|Consume Alcohol|Cool|Dodge|Endurance|Melee (Basic)|Perception|Row|Sail|Swim|Charm|Climb|Gossip|Intimidate|Intuition|Ranged (Blackpowder)|</t>
        </is>
      </c>
      <c r="K171" t="inlineStr">
        <is>
          <t>|Strong Back|Strong Swimmer|Very Strong|Waterman|Criminal|Gunner|Night Vision|Seasoned Traveller|</t>
        </is>
      </c>
      <c r="L171" t="inlineStr">
        <is>
          <t>Resolute and vigilant, you patrol the riverways in pursuit of lawbreakers and troublemakers.</t>
        </is>
      </c>
      <c r="M171" t="inlineStr">
        <is>
          <t>Melee (Basic)</t>
        </is>
      </c>
      <c r="N171" t="inlineStr">
        <is>
          <t>Dwarf, Halfling, Human</t>
        </is>
      </c>
      <c r="O171" t="n">
        <v>87</v>
      </c>
      <c r="P171" t="n">
        <v>1</v>
      </c>
      <c r="Q171" t="n">
        <v>2</v>
      </c>
      <c r="R171" t="n">
        <v>1</v>
      </c>
      <c r="T171" t="n">
        <v>3</v>
      </c>
      <c r="W171" t="n">
        <v>4</v>
      </c>
      <c r="Y171" t="n">
        <v>1</v>
      </c>
    </row>
    <row r="172">
      <c r="A172" t="inlineStr">
        <is>
          <t>Riverwarden|3</t>
        </is>
      </c>
      <c r="B172" t="inlineStr">
        <is>
          <t>Riverwarden</t>
        </is>
      </c>
      <c r="C172" t="n">
        <v>3</v>
      </c>
      <c r="D172" t="inlineStr">
        <is>
          <t>Riverfolk</t>
        </is>
      </c>
      <c r="E172" t="inlineStr">
        <is>
          <t>Shipsword</t>
        </is>
      </c>
      <c r="F172" t="inlineStr">
        <is>
          <t>Silver 3</t>
        </is>
      </c>
      <c r="G172" t="inlineStr">
        <is>
          <t>Entertain (Storytelling), Evaluate, Leadership, Lore (Riverways)</t>
        </is>
      </c>
      <c r="H172" t="inlineStr">
        <is>
          <t>Fearless (Wreckers), Hatred (Any One), Nose for Trouble, Strong Legs</t>
        </is>
      </c>
      <c r="I172" t="inlineStr">
        <is>
          <t>Grappling Hook, Helmet, Mail Shirt</t>
        </is>
      </c>
      <c r="J172" t="inlineStr">
        <is>
          <t>|Athletics|Consume Alcohol|Cool|Dodge|Endurance|Melee (Basic)|Perception|Row|Sail|Swim|Charm|Climb|Gossip|Intimidate|Intuition|Ranged (Blackpowder)|Entertain (Storytelling)|Evaluate|Leadership|Lore (Riverways)|</t>
        </is>
      </c>
      <c r="K172" t="inlineStr">
        <is>
          <t>|Strong Back|Strong Swimmer|Very Strong|Waterman|Criminal|Gunner|Night Vision|Seasoned Traveller|Fearless (Wreckers)|Hatred (any)|Nose for Trouble|Strong Legs|</t>
        </is>
      </c>
      <c r="L172" t="inlineStr">
        <is>
          <t>Resolute and vigilant, you patrol the riverways in pursuit of lawbreakers and troublemakers.</t>
        </is>
      </c>
      <c r="M172" t="inlineStr">
        <is>
          <t>Melee (Basic)</t>
        </is>
      </c>
      <c r="N172" t="inlineStr">
        <is>
          <t>Dwarf, Halfling, Human</t>
        </is>
      </c>
      <c r="O172" t="n">
        <v>87</v>
      </c>
      <c r="P172" t="n">
        <v>1</v>
      </c>
      <c r="Q172" t="n">
        <v>2</v>
      </c>
      <c r="R172" t="n">
        <v>1</v>
      </c>
      <c r="T172" t="n">
        <v>3</v>
      </c>
      <c r="W172" t="n">
        <v>4</v>
      </c>
      <c r="Y172" t="n">
        <v>1</v>
      </c>
    </row>
    <row r="173">
      <c r="A173" t="inlineStr">
        <is>
          <t>Riverwarden|4</t>
        </is>
      </c>
      <c r="B173" t="inlineStr">
        <is>
          <t>Riverwarden</t>
        </is>
      </c>
      <c r="C173" t="n">
        <v>4</v>
      </c>
      <c r="D173" t="inlineStr">
        <is>
          <t>Riverfolk</t>
        </is>
      </c>
      <c r="E173" t="inlineStr">
        <is>
          <t>Shipsword Master</t>
        </is>
      </c>
      <c r="F173" t="inlineStr">
        <is>
          <t>Gold 1</t>
        </is>
      </c>
      <c r="G173" t="inlineStr">
        <is>
          <t>Lore (Law), Navigation</t>
        </is>
      </c>
      <c r="H173" t="inlineStr">
        <is>
          <t>Commanding Presence, Kingpin, Menacing, Orientation</t>
        </is>
      </c>
      <c r="I173" t="inlineStr">
        <is>
          <t>Patrol Boats and Crew, Symbol of Rank</t>
        </is>
      </c>
      <c r="J173" t="inlineStr">
        <is>
          <t>|Athletics|Consume Alcohol|Cool|Dodge|Endurance|Melee (Basic)|Perception|Row|Sail|Swim|Charm|Climb|Gossip|Intimidate|Intuition|Ranged (Blackpowder)|Entertain (Storytelling)|Evaluate|Leadership|Lore (Riverways)|Lore (Law)|Navigation|</t>
        </is>
      </c>
      <c r="K173" t="inlineStr">
        <is>
          <t>|Strong Back|Strong Swimmer|Very Strong|Waterman|Criminal|Gunner|Night Vision|Seasoned Traveller|Fearless (Wreckers)|Hatred (any)|Nose for Trouble|Strong Legs|Commanding Presence|Kingpin|Menacing|Orientation|</t>
        </is>
      </c>
      <c r="L173" t="inlineStr">
        <is>
          <t>Resolute and vigilant, you patrol the riverways in pursuit of lawbreakers and troublemakers.</t>
        </is>
      </c>
      <c r="M173" t="inlineStr">
        <is>
          <t>Melee (Basic)</t>
        </is>
      </c>
      <c r="N173" t="inlineStr">
        <is>
          <t>Dwarf, Halfling, Human</t>
        </is>
      </c>
      <c r="O173" t="n">
        <v>87</v>
      </c>
      <c r="P173" t="n">
        <v>1</v>
      </c>
      <c r="Q173" t="n">
        <v>2</v>
      </c>
      <c r="R173" t="n">
        <v>1</v>
      </c>
      <c r="T173" t="n">
        <v>3</v>
      </c>
      <c r="W173" t="n">
        <v>4</v>
      </c>
      <c r="Y173" t="n">
        <v>1</v>
      </c>
    </row>
    <row r="174">
      <c r="A174" t="inlineStr">
        <is>
          <t>Riverwoman|1</t>
        </is>
      </c>
      <c r="B174" t="inlineStr">
        <is>
          <t>Riverwoman</t>
        </is>
      </c>
      <c r="C174" t="n">
        <v>1</v>
      </c>
      <c r="D174" t="inlineStr">
        <is>
          <t>Riverfolk</t>
        </is>
      </c>
      <c r="E174" t="inlineStr">
        <is>
          <t>Greenfish</t>
        </is>
      </c>
      <c r="F174" t="inlineStr">
        <is>
          <t>Brass 2</t>
        </is>
      </c>
      <c r="G174" t="inlineStr">
        <is>
          <t>Athletics, Consume Alcohol, Dodge, Endurance, Gossip, Lore (Local), Outdoor Survival, Row, Stealth (Rural), Swim</t>
        </is>
      </c>
      <c r="H174" t="inlineStr">
        <is>
          <t>Fisherman, Gregarious, Striding Gait (Wetland), Strong Swimmer</t>
        </is>
      </c>
      <c r="I174" t="inlineStr">
        <is>
          <t>Bucket, Fishing Rod and Bait, Leather Leggings</t>
        </is>
      </c>
      <c r="J174" t="inlineStr">
        <is>
          <t>|Athletics|Consume Alcohol|Dodge|Endurance|Gossip|Lore (Local)|Outdoor Survival|Row|Stealth (Rural)|Swim|</t>
        </is>
      </c>
      <c r="K174" t="inlineStr">
        <is>
          <t>|Fisherman|Gregarious|Striding Gait (Wetland)|Strong Swimmer|</t>
        </is>
      </c>
      <c r="L174" t="inlineStr">
        <is>
          <t>You live with the ups and downs of life by the river, and the many interesting people who pass through.</t>
        </is>
      </c>
      <c r="M174" t="inlineStr">
        <is>
          <t>Endurance</t>
        </is>
      </c>
      <c r="N174" t="inlineStr">
        <is>
          <t>Dwarf, Halfling, Human</t>
        </is>
      </c>
      <c r="O174" t="n">
        <v>88</v>
      </c>
      <c r="R174" t="n">
        <v>3</v>
      </c>
      <c r="S174" t="n">
        <v>1</v>
      </c>
      <c r="U174" t="n">
        <v>1</v>
      </c>
      <c r="V174" t="n">
        <v>1</v>
      </c>
      <c r="W174" t="n">
        <v>4</v>
      </c>
      <c r="Y174" t="n">
        <v>2</v>
      </c>
    </row>
    <row r="175">
      <c r="A175" t="inlineStr">
        <is>
          <t>Riverwoman|2</t>
        </is>
      </c>
      <c r="B175" t="inlineStr">
        <is>
          <t>Riverwoman</t>
        </is>
      </c>
      <c r="C175" t="n">
        <v>2</v>
      </c>
      <c r="D175" t="inlineStr">
        <is>
          <t>Riverfolk</t>
        </is>
      </c>
      <c r="E175" t="inlineStr">
        <is>
          <t>Riverwoman</t>
        </is>
      </c>
      <c r="F175" t="inlineStr">
        <is>
          <t>Brass 3</t>
        </is>
      </c>
      <c r="G175" t="inlineStr">
        <is>
          <t>Charm, Entertain (Storytelling), Lore (Riverways), Melee (Polearm), Set Trap, Trade (Boatbuilder)</t>
        </is>
      </c>
      <c r="H175" t="inlineStr">
        <is>
          <t>Craftsman (Boatbuilder), Rover, Strong Back, Tenacious</t>
        </is>
      </c>
      <c r="I175" t="inlineStr">
        <is>
          <t>Eel Trap, Leather Jerkin, Net, Spear</t>
        </is>
      </c>
      <c r="J175" t="inlineStr">
        <is>
          <t>|Athletics|Consume Alcohol|Dodge|Endurance|Gossip|Lore (Local)|Outdoor Survival|Row|Stealth (Rural)|Swim|Charm|Entertain (Storytelling)|Lore (Riverways)|Melee (Polearm)|Set Trap|Trade (Boatbuilder)|</t>
        </is>
      </c>
      <c r="K175" t="inlineStr">
        <is>
          <t>|Fisherman|Gregarious|Striding Gait (Wetland)|Strong Swimmer|Craftsman (Boatbuilder)|Rover|Strong Back|Tenacious|</t>
        </is>
      </c>
      <c r="L175" t="inlineStr">
        <is>
          <t>You live with the ups and downs of life by the river, and the many interesting people who pass through.</t>
        </is>
      </c>
      <c r="M175" t="inlineStr">
        <is>
          <t>Endurance</t>
        </is>
      </c>
      <c r="N175" t="inlineStr">
        <is>
          <t>Dwarf, Halfling, Human</t>
        </is>
      </c>
      <c r="O175" t="n">
        <v>88</v>
      </c>
      <c r="R175" t="n">
        <v>3</v>
      </c>
      <c r="S175" t="n">
        <v>1</v>
      </c>
      <c r="U175" t="n">
        <v>1</v>
      </c>
      <c r="V175" t="n">
        <v>1</v>
      </c>
      <c r="W175" t="n">
        <v>4</v>
      </c>
      <c r="Y175" t="n">
        <v>2</v>
      </c>
    </row>
    <row r="176">
      <c r="A176" t="inlineStr">
        <is>
          <t>Riverwoman|3</t>
        </is>
      </c>
      <c r="B176" t="inlineStr">
        <is>
          <t>Riverwoman</t>
        </is>
      </c>
      <c r="C176" t="n">
        <v>3</v>
      </c>
      <c r="D176" t="inlineStr">
        <is>
          <t>Riverfolk</t>
        </is>
      </c>
      <c r="E176" t="inlineStr">
        <is>
          <t>Riverwise</t>
        </is>
      </c>
      <c r="F176" t="inlineStr">
        <is>
          <t>Brass 5</t>
        </is>
      </c>
      <c r="G176" t="inlineStr">
        <is>
          <t>Haggle, Intuition, Leadership, Perception</t>
        </is>
      </c>
      <c r="H176" t="inlineStr">
        <is>
          <t>Dealmaker, Sharp, Stout-hearted, Strong-minded</t>
        </is>
      </c>
      <c r="I176" t="inlineStr">
        <is>
          <t>Rowboat, Storm Lantern and Oil</t>
        </is>
      </c>
      <c r="J176" t="inlineStr">
        <is>
          <t>|Athletics|Consume Alcohol|Dodge|Endurance|Gossip|Lore (Local)|Outdoor Survival|Row|Stealth (Rural)|Swim|Charm|Entertain (Storytelling)|Lore (Riverways)|Melee (Polearm)|Set Trap|Trade (Boatbuilder)|Haggle|Intuition|Leadership|Perception|</t>
        </is>
      </c>
      <c r="K176" t="inlineStr">
        <is>
          <t>|Fisherman|Gregarious|Striding Gait (Wetland)|Strong Swimmer|Craftsman (Boatbuilder)|Rover|Strong Back|Tenacious|Dealmaker|Sharp|Stout-hearted|Strong-minded|</t>
        </is>
      </c>
      <c r="L176" t="inlineStr">
        <is>
          <t>You live with the ups and downs of life by the river, and the many interesting people who pass through.</t>
        </is>
      </c>
      <c r="M176" t="inlineStr">
        <is>
          <t>Endurance</t>
        </is>
      </c>
      <c r="N176" t="inlineStr">
        <is>
          <t>Dwarf, Halfling, Human</t>
        </is>
      </c>
      <c r="O176" t="n">
        <v>88</v>
      </c>
      <c r="R176" t="n">
        <v>3</v>
      </c>
      <c r="S176" t="n">
        <v>1</v>
      </c>
      <c r="U176" t="n">
        <v>1</v>
      </c>
      <c r="V176" t="n">
        <v>1</v>
      </c>
      <c r="W176" t="n">
        <v>4</v>
      </c>
      <c r="Y176" t="n">
        <v>2</v>
      </c>
    </row>
    <row r="177">
      <c r="A177" t="inlineStr">
        <is>
          <t>Riverwoman|4</t>
        </is>
      </c>
      <c r="B177" t="inlineStr">
        <is>
          <t>Riverwoman</t>
        </is>
      </c>
      <c r="C177" t="n">
        <v>4</v>
      </c>
      <c r="D177" t="inlineStr">
        <is>
          <t>Riverfolk</t>
        </is>
      </c>
      <c r="E177" t="inlineStr">
        <is>
          <t>River Elder</t>
        </is>
      </c>
      <c r="F177" t="inlineStr">
        <is>
          <t>Silver 2</t>
        </is>
      </c>
      <c r="G177" t="inlineStr">
        <is>
          <t>Lore (Folklore), Sail</t>
        </is>
      </c>
      <c r="H177" t="inlineStr">
        <is>
          <t>Master Tradesman (Boatbuilder), Public Speaker, Savant (Riverways), Waterman</t>
        </is>
      </c>
      <c r="I177" t="inlineStr">
        <is>
          <t>Barge or Hut</t>
        </is>
      </c>
      <c r="J177" t="inlineStr">
        <is>
          <t>|Athletics|Consume Alcohol|Dodge|Endurance|Gossip|Lore (Local)|Outdoor Survival|Row|Stealth (Rural)|Swim|Charm|Entertain (Storytelling)|Lore (Riverways)|Melee (Polearm)|Set Trap|Trade (Boatbuilder)|Haggle|Intuition|Leadership|Perception|Lore (Folklore)|Sail|</t>
        </is>
      </c>
      <c r="K177" t="inlineStr">
        <is>
          <t>|Fisherman|Gregarious|Striding Gait (Wetland)|Strong Swimmer|Craftsman (Boatbuilder)|Rover|Strong Back|Tenacious|Dealmaker|Sharp|Stout-hearted|Strong-minded|Master Tradesman (Boatbuilder)|Public Speaker|Savant (Riverways)|Waterman|</t>
        </is>
      </c>
      <c r="L177" t="inlineStr">
        <is>
          <t>You live with the ups and downs of life by the river, and the many interesting people who pass through.</t>
        </is>
      </c>
      <c r="M177" t="inlineStr">
        <is>
          <t>Endurance</t>
        </is>
      </c>
      <c r="N177" t="inlineStr">
        <is>
          <t>Dwarf, Halfling, Human</t>
        </is>
      </c>
      <c r="O177" t="n">
        <v>88</v>
      </c>
      <c r="R177" t="n">
        <v>3</v>
      </c>
      <c r="S177" t="n">
        <v>1</v>
      </c>
      <c r="U177" t="n">
        <v>1</v>
      </c>
      <c r="V177" t="n">
        <v>1</v>
      </c>
      <c r="W177" t="n">
        <v>4</v>
      </c>
      <c r="Y177" t="n">
        <v>2</v>
      </c>
    </row>
    <row r="178">
      <c r="A178" t="inlineStr">
        <is>
          <t>Roadwarden|1</t>
        </is>
      </c>
      <c r="B178" t="inlineStr">
        <is>
          <t>Roadwarden</t>
        </is>
      </c>
      <c r="C178" t="n">
        <v>1</v>
      </c>
      <c r="D178" t="inlineStr">
        <is>
          <t>Ranger</t>
        </is>
      </c>
      <c r="E178" t="inlineStr">
        <is>
          <t>Toll Keeper</t>
        </is>
      </c>
      <c r="F178" t="inlineStr">
        <is>
          <t>Brass 5</t>
        </is>
      </c>
      <c r="G178" t="inlineStr">
        <is>
          <t>Consume Alcohol, Cool, Evaluate, Gamble, Gossip, Intimidate, Intuition, Melee (Basic), Perception, Ranged (Crossbow)</t>
        </is>
      </c>
      <c r="H178" t="inlineStr">
        <is>
          <t>Coolheaded, Embezzle, Marksman, Numismatics</t>
        </is>
      </c>
      <c r="I178" t="inlineStr">
        <is>
          <t>Crossbow with 10 Bolts, Hand Weapon, Leather Jack</t>
        </is>
      </c>
      <c r="J178" t="inlineStr">
        <is>
          <t>|Consume Alcohol|Cool|Evaluate|Gamble|Gossip|Intimidate|Intuition|Melee (Basic)|Perception|Ranged (Crossbow)|</t>
        </is>
      </c>
      <c r="K178" t="inlineStr">
        <is>
          <t>|Coolheaded|Embezzle|Marksman|Numismatics|</t>
        </is>
      </c>
      <c r="L178" t="inlineStr">
        <is>
          <t>With a wary eye and ready weapon, you enforce the law on the Empire's dangerous highways.</t>
        </is>
      </c>
      <c r="M178" t="inlineStr">
        <is>
          <t>Perception</t>
        </is>
      </c>
      <c r="N178" t="inlineStr">
        <is>
          <t>Halfling, Human</t>
        </is>
      </c>
      <c r="O178" t="n">
        <v>89</v>
      </c>
      <c r="P178" t="n">
        <v>1</v>
      </c>
      <c r="Q178" t="n">
        <v>2</v>
      </c>
      <c r="S178" t="n">
        <v>1</v>
      </c>
      <c r="T178" t="n">
        <v>1</v>
      </c>
      <c r="U178" t="n">
        <v>4</v>
      </c>
      <c r="Y178" t="n">
        <v>3</v>
      </c>
    </row>
    <row r="179">
      <c r="A179" t="inlineStr">
        <is>
          <t>Roadwarden|2</t>
        </is>
      </c>
      <c r="B179" t="inlineStr">
        <is>
          <t>Roadwarden</t>
        </is>
      </c>
      <c r="C179" t="n">
        <v>2</v>
      </c>
      <c r="D179" t="inlineStr">
        <is>
          <t>Ranger</t>
        </is>
      </c>
      <c r="E179" t="inlineStr">
        <is>
          <t>Roadwarden</t>
        </is>
      </c>
      <c r="F179" t="inlineStr">
        <is>
          <t>Silver 3</t>
        </is>
      </c>
      <c r="G179" t="inlineStr">
        <is>
          <t>Animal Care, Charm, Charm Animal, Entertain (Storytelling), Ranged (Blackpowder), Ride (Horse)</t>
        </is>
      </c>
      <c r="H179" t="inlineStr">
        <is>
          <t>Criminal, Rapid Reload, Roughrider, Seasoned Traveller</t>
        </is>
      </c>
      <c r="I179" t="inlineStr">
        <is>
          <t>Light Warhorse, Mail Shirt, Pistol with 10 Shots, Rope</t>
        </is>
      </c>
      <c r="J179" t="inlineStr">
        <is>
          <t>|Consume Alcohol|Cool|Evaluate|Gamble|Gossip|Intimidate|Intuition|Melee (Basic)|Perception|Ranged (Crossbow)|Animal Care|Charm|Charm Animal|Entertain (Storytelling)|Ranged (Blackpowder)|Ride (Horse)|</t>
        </is>
      </c>
      <c r="K179" t="inlineStr">
        <is>
          <t>|Coolheaded|Embezzle|Marksman|Numismatics|Criminal|Rapid Reload|Roughrider|Seasoned Traveller|</t>
        </is>
      </c>
      <c r="L179" t="inlineStr">
        <is>
          <t>With a wary eye and ready weapon, you enforce the law on the Empire's dangerous highways.</t>
        </is>
      </c>
      <c r="M179" t="inlineStr">
        <is>
          <t>Perception</t>
        </is>
      </c>
      <c r="N179" t="inlineStr">
        <is>
          <t>Halfling, Human</t>
        </is>
      </c>
      <c r="O179" t="n">
        <v>89</v>
      </c>
      <c r="P179" t="n">
        <v>1</v>
      </c>
      <c r="Q179" t="n">
        <v>2</v>
      </c>
      <c r="S179" t="n">
        <v>1</v>
      </c>
      <c r="T179" t="n">
        <v>1</v>
      </c>
      <c r="U179" t="n">
        <v>4</v>
      </c>
      <c r="Y179" t="n">
        <v>3</v>
      </c>
    </row>
    <row r="180">
      <c r="A180" t="inlineStr">
        <is>
          <t>Roadwarden|3</t>
        </is>
      </c>
      <c r="B180" t="inlineStr">
        <is>
          <t>Roadwarden</t>
        </is>
      </c>
      <c r="C180" t="n">
        <v>3</v>
      </c>
      <c r="D180" t="inlineStr">
        <is>
          <t>Ranger</t>
        </is>
      </c>
      <c r="E180" t="inlineStr">
        <is>
          <t>Road Sergeant</t>
        </is>
      </c>
      <c r="F180" t="inlineStr">
        <is>
          <t>Silver 5</t>
        </is>
      </c>
      <c r="G180" t="inlineStr">
        <is>
          <t>Dodge, Endurance, Leadership, Track</t>
        </is>
      </c>
      <c r="H180" t="inlineStr">
        <is>
          <t>Etiquette (Soldiers), Fearless (Outlaws), Hatred (Any One), Nose for Trouble</t>
        </is>
      </c>
      <c r="I180" t="inlineStr">
        <is>
          <t>Squad of Roadwardens, Symbol of Rank</t>
        </is>
      </c>
      <c r="J180" t="inlineStr">
        <is>
          <t>|Consume Alcohol|Cool|Evaluate|Gamble|Gossip|Intimidate|Intuition|Melee (Basic)|Perception|Ranged (Crossbow)|Animal Care|Charm|Charm Animal|Entertain (Storytelling)|Ranged (Blackpowder)|Ride (Horse)|Dodge|Endurance|Leadership|Track|</t>
        </is>
      </c>
      <c r="K180" t="inlineStr">
        <is>
          <t>|Coolheaded|Embezzle|Marksman|Numismatics|Criminal|Rapid Reload|Roughrider|Seasoned Traveller|Etiquette (Soldiers)|Fearless (Outlaws)|Hatred (any)|Nose for Trouble|</t>
        </is>
      </c>
      <c r="L180" t="inlineStr">
        <is>
          <t>With a wary eye and ready weapon, you enforce the law on the Empire's dangerous highways.</t>
        </is>
      </c>
      <c r="M180" t="inlineStr">
        <is>
          <t>Perception</t>
        </is>
      </c>
      <c r="N180" t="inlineStr">
        <is>
          <t>Halfling, Human</t>
        </is>
      </c>
      <c r="O180" t="n">
        <v>89</v>
      </c>
      <c r="P180" t="n">
        <v>1</v>
      </c>
      <c r="Q180" t="n">
        <v>2</v>
      </c>
      <c r="S180" t="n">
        <v>1</v>
      </c>
      <c r="T180" t="n">
        <v>1</v>
      </c>
      <c r="U180" t="n">
        <v>4</v>
      </c>
      <c r="Y180" t="n">
        <v>3</v>
      </c>
    </row>
    <row r="181">
      <c r="A181" t="inlineStr">
        <is>
          <t>Roadwarden|4</t>
        </is>
      </c>
      <c r="B181" t="inlineStr">
        <is>
          <t>Roadwarden</t>
        </is>
      </c>
      <c r="C181" t="n">
        <v>4</v>
      </c>
      <c r="D181" t="inlineStr">
        <is>
          <t>Ranger</t>
        </is>
      </c>
      <c r="E181" t="inlineStr">
        <is>
          <t>Road Captain</t>
        </is>
      </c>
      <c r="F181" t="inlineStr">
        <is>
          <t>Gold 1</t>
        </is>
      </c>
      <c r="G181" t="inlineStr">
        <is>
          <t>Lore (The Empire), Navigation</t>
        </is>
      </c>
      <c r="H181" t="inlineStr">
        <is>
          <t>Combat Aware, Commanding Presence, Kingpin, Roughrider</t>
        </is>
      </c>
      <c r="I181" t="inlineStr">
        <is>
          <t>Quality Hat and Cloak, Unit of Roadwardens</t>
        </is>
      </c>
      <c r="J181" t="inlineStr">
        <is>
          <t>|Consume Alcohol|Cool|Evaluate|Gamble|Gossip|Intimidate|Intuition|Melee (Basic)|Perception|Ranged (Crossbow)|Animal Care|Charm|Charm Animal|Entertain (Storytelling)|Ranged (Blackpowder)|Ride (Horse)|Dodge|Endurance|Leadership|Track|Lore (The Empire)|Navigation|</t>
        </is>
      </c>
      <c r="K181" t="inlineStr">
        <is>
          <t>|Coolheaded|Embezzle|Marksman|Numismatics|Criminal|Rapid Reload|Roughrider|Seasoned Traveller|Etiquette (Soldiers)|Fearless (Outlaws)|Hatred (any)|Nose for Trouble|Combat Aware|Commanding Presence|Kingpin|</t>
        </is>
      </c>
      <c r="L181" t="inlineStr">
        <is>
          <t>With a wary eye and ready weapon, you enforce the law on the Empire's dangerous highways.</t>
        </is>
      </c>
      <c r="M181" t="inlineStr">
        <is>
          <t>Perception</t>
        </is>
      </c>
      <c r="N181" t="inlineStr">
        <is>
          <t>Halfling, Human</t>
        </is>
      </c>
      <c r="O181" t="n">
        <v>89</v>
      </c>
      <c r="P181" t="n">
        <v>1</v>
      </c>
      <c r="Q181" t="n">
        <v>2</v>
      </c>
      <c r="S181" t="n">
        <v>1</v>
      </c>
      <c r="T181" t="n">
        <v>1</v>
      </c>
      <c r="U181" t="n">
        <v>4</v>
      </c>
      <c r="Y181" t="n">
        <v>3</v>
      </c>
    </row>
    <row r="182">
      <c r="A182" t="inlineStr">
        <is>
          <t>Sailor|1</t>
        </is>
      </c>
      <c r="B182" t="inlineStr">
        <is>
          <t>Sailor</t>
        </is>
      </c>
      <c r="C182" t="n">
        <v>1</v>
      </c>
      <c r="D182" t="inlineStr">
        <is>
          <t>Riverfolk</t>
        </is>
      </c>
      <c r="E182" t="inlineStr">
        <is>
          <t>Landsman</t>
        </is>
      </c>
      <c r="F182" t="inlineStr">
        <is>
          <t>Brass 4</t>
        </is>
      </c>
      <c r="G182" t="inlineStr">
        <is>
          <t>Athletics, Climb, Consume Alcohol, Cool, Endurance, Gamble, Melee (Brawling), Row, Sail, Swim</t>
        </is>
      </c>
      <c r="H182" t="inlineStr">
        <is>
          <t>Sea Legs, Striding Gait (Coastal), Strong Back, Strong Swimmer</t>
        </is>
      </c>
      <c r="I182" t="inlineStr">
        <is>
          <t>Brush, Bucket, Mop</t>
        </is>
      </c>
      <c r="J182" t="inlineStr">
        <is>
          <t>|Athletics|Climb|Consume Alcohol|Cool|Endurance|Gamble|Melee (Brawling)|Row|Sail|Swim|</t>
        </is>
      </c>
      <c r="K182" t="inlineStr">
        <is>
          <t>|Sea Legs|Striding Gait (Coastal)|Strong Back|Strong Swimmer|</t>
        </is>
      </c>
      <c r="L182" t="inlineStr">
        <is>
          <t>You live for the open sea, sailing ocean-going vessels into the Sea of Claws and beyond.</t>
        </is>
      </c>
      <c r="M182" t="inlineStr">
        <is>
          <t>Sail</t>
        </is>
      </c>
      <c r="N182" t="inlineStr">
        <is>
          <t>Dwarf, Halfling, High Elf, Human</t>
        </is>
      </c>
      <c r="O182" t="n">
        <v>90</v>
      </c>
      <c r="P182" t="n">
        <v>2</v>
      </c>
      <c r="R182" t="n">
        <v>1</v>
      </c>
      <c r="T182" t="n">
        <v>3</v>
      </c>
      <c r="U182" t="n">
        <v>1</v>
      </c>
      <c r="V182" t="n">
        <v>1</v>
      </c>
      <c r="W182" t="n">
        <v>4</v>
      </c>
    </row>
    <row r="183">
      <c r="A183" t="inlineStr">
        <is>
          <t>Sailor|2</t>
        </is>
      </c>
      <c r="B183" t="inlineStr">
        <is>
          <t>Sailor</t>
        </is>
      </c>
      <c r="C183" t="n">
        <v>2</v>
      </c>
      <c r="D183" t="inlineStr">
        <is>
          <t>Riverfolk</t>
        </is>
      </c>
      <c r="E183" t="inlineStr">
        <is>
          <t>Sailor</t>
        </is>
      </c>
      <c r="F183" t="inlineStr">
        <is>
          <t>Silver 2</t>
        </is>
      </c>
      <c r="G183" t="inlineStr">
        <is>
          <t>Dodge, Entertain (Singing), Gossip, Language (Any One), Melee (Basic), Play (Pennywhistle)</t>
        </is>
      </c>
      <c r="H183" t="inlineStr">
        <is>
          <t>Catfall, Seasoned Traveller, Strong Legs, Tenacious</t>
        </is>
      </c>
      <c r="I183" t="inlineStr">
        <is>
          <t>Hand Weapon (Boat Hook), Leather Jerkin</t>
        </is>
      </c>
      <c r="J183" t="inlineStr">
        <is>
          <t>|Athletics|Climb|Consume Alcohol|Cool|Endurance|Gamble|Melee (Brawling)|Row|Sail|Swim|Dodge|Entertain (Singing)|Gossip|Language (any)|Melee (Basic)|Play (Pennywhistle)|</t>
        </is>
      </c>
      <c r="K183" t="inlineStr">
        <is>
          <t>|Sea Legs|Striding Gait (Coastal)|Strong Back|Strong Swimmer|Catfall|Seasoned Traveller|Strong Legs|Tenacious|</t>
        </is>
      </c>
      <c r="L183" t="inlineStr">
        <is>
          <t>You live for the open sea, sailing ocean-going vessels into the Sea of Claws and beyond.</t>
        </is>
      </c>
      <c r="M183" t="inlineStr">
        <is>
          <t>Sail</t>
        </is>
      </c>
      <c r="N183" t="inlineStr">
        <is>
          <t>Dwarf, Halfling, High Elf, Human</t>
        </is>
      </c>
      <c r="O183" t="n">
        <v>90</v>
      </c>
      <c r="P183" t="n">
        <v>2</v>
      </c>
      <c r="R183" t="n">
        <v>1</v>
      </c>
      <c r="T183" t="n">
        <v>3</v>
      </c>
      <c r="U183" t="n">
        <v>1</v>
      </c>
      <c r="V183" t="n">
        <v>1</v>
      </c>
      <c r="W183" t="n">
        <v>4</v>
      </c>
    </row>
    <row r="184">
      <c r="A184" t="inlineStr">
        <is>
          <t>Sailor|3</t>
        </is>
      </c>
      <c r="B184" t="inlineStr">
        <is>
          <t>Sailor</t>
        </is>
      </c>
      <c r="C184" t="n">
        <v>3</v>
      </c>
      <c r="D184" t="inlineStr">
        <is>
          <t>Riverfolk</t>
        </is>
      </c>
      <c r="E184" t="inlineStr">
        <is>
          <t>Boatswain</t>
        </is>
      </c>
      <c r="F184" t="inlineStr">
        <is>
          <t>Silver 3</t>
        </is>
      </c>
      <c r="G184" t="inlineStr">
        <is>
          <t>Heal, Leadership, Lore (Oceans), Trade (Boatbuilder)</t>
        </is>
      </c>
      <c r="H184" t="inlineStr">
        <is>
          <t>Craftsman (Boatbuilder), Old Salt, Strike Mighty Blow, Surgery</t>
        </is>
      </c>
      <c r="I184" t="inlineStr">
        <is>
          <t>Trade Tools (Carpenter), Trade Tools (Physician)</t>
        </is>
      </c>
      <c r="J184" t="inlineStr">
        <is>
          <t>|Athletics|Climb|Consume Alcohol|Cool|Endurance|Gamble|Melee (Brawling)|Row|Sail|Swim|Dodge|Entertain (Singing)|Gossip|Language (any)|Melee (Basic)|Play (Pennywhistle)|Heal|Leadership|Lore (Oceans)|Trade (Boatbuilder)|</t>
        </is>
      </c>
      <c r="K184" t="inlineStr">
        <is>
          <t>|Sea Legs|Striding Gait (Coastal)|Strong Back|Strong Swimmer|Catfall|Seasoned Traveller|Strong Legs|Tenacious|Craftsman (Boatbuilder)|Old Salt|Strike Mighty Blow|Surgery|</t>
        </is>
      </c>
      <c r="L184" t="inlineStr">
        <is>
          <t>You live for the open sea, sailing ocean-going vessels into the Sea of Claws and beyond.</t>
        </is>
      </c>
      <c r="M184" t="inlineStr">
        <is>
          <t>Sail</t>
        </is>
      </c>
      <c r="N184" t="inlineStr">
        <is>
          <t>Dwarf, Halfling, High Elf, Human</t>
        </is>
      </c>
      <c r="O184" t="n">
        <v>90</v>
      </c>
      <c r="P184" t="n">
        <v>2</v>
      </c>
      <c r="R184" t="n">
        <v>1</v>
      </c>
      <c r="T184" t="n">
        <v>3</v>
      </c>
      <c r="U184" t="n">
        <v>1</v>
      </c>
      <c r="V184" t="n">
        <v>1</v>
      </c>
      <c r="W184" t="n">
        <v>4</v>
      </c>
    </row>
    <row r="185">
      <c r="A185" t="inlineStr">
        <is>
          <t>Sailor|4</t>
        </is>
      </c>
      <c r="B185" t="inlineStr">
        <is>
          <t>Sailor</t>
        </is>
      </c>
      <c r="C185" t="n">
        <v>4</v>
      </c>
      <c r="D185" t="inlineStr">
        <is>
          <t>Riverfolk</t>
        </is>
      </c>
      <c r="E185" t="inlineStr">
        <is>
          <t>Ship's Master</t>
        </is>
      </c>
      <c r="F185" t="inlineStr">
        <is>
          <t>Gold 2</t>
        </is>
      </c>
      <c r="G185" t="inlineStr">
        <is>
          <t>Charm, Navigation</t>
        </is>
      </c>
      <c r="H185" t="inlineStr">
        <is>
          <t>Orientation, Pilot, Public Speaker, Savvy</t>
        </is>
      </c>
      <c r="I185" t="inlineStr">
        <is>
          <t>Sailing Ship and Crew, Sextant, Shipping Charts, Spyglass</t>
        </is>
      </c>
      <c r="J185" t="inlineStr">
        <is>
          <t>|Athletics|Climb|Consume Alcohol|Cool|Endurance|Gamble|Melee (Brawling)|Row|Sail|Swim|Dodge|Entertain (Singing)|Gossip|Language (any)|Melee (Basic)|Play (Pennywhistle)|Heal|Leadership|Lore (Oceans)|Trade (Boatbuilder)|Charm|Navigation|</t>
        </is>
      </c>
      <c r="K185" t="inlineStr">
        <is>
          <t>|Sea Legs|Striding Gait (Coastal)|Strong Back|Strong Swimmer|Catfall|Seasoned Traveller|Strong Legs|Tenacious|Craftsman (Boatbuilder)|Old Salt|Strike Mighty Blow|Surgery|Orientation|Pilot|Public Speaker|Savvy|</t>
        </is>
      </c>
      <c r="L185" t="inlineStr">
        <is>
          <t>You live for the open sea, sailing ocean-going vessels into the Sea of Claws and beyond.</t>
        </is>
      </c>
      <c r="M185" t="inlineStr">
        <is>
          <t>Sail</t>
        </is>
      </c>
      <c r="N185" t="inlineStr">
        <is>
          <t>Dwarf, Halfling, High Elf, Human</t>
        </is>
      </c>
      <c r="O185" t="n">
        <v>90</v>
      </c>
      <c r="P185" t="n">
        <v>2</v>
      </c>
      <c r="R185" t="n">
        <v>1</v>
      </c>
      <c r="T185" t="n">
        <v>3</v>
      </c>
      <c r="U185" t="n">
        <v>1</v>
      </c>
      <c r="V185" t="n">
        <v>1</v>
      </c>
      <c r="W185" t="n">
        <v>4</v>
      </c>
    </row>
    <row r="186">
      <c r="A186" t="inlineStr">
        <is>
          <t>Scholar|1</t>
        </is>
      </c>
      <c r="B186" t="inlineStr">
        <is>
          <t>Scholar</t>
        </is>
      </c>
      <c r="C186" t="n">
        <v>1</v>
      </c>
      <c r="D186" t="inlineStr">
        <is>
          <t>Academic</t>
        </is>
      </c>
      <c r="E186" t="inlineStr">
        <is>
          <t>Student</t>
        </is>
      </c>
      <c r="F186" t="inlineStr">
        <is>
          <t>Brass 3</t>
        </is>
      </c>
      <c r="G186" t="inlineStr">
        <is>
          <t>Art (Writing), Consume Alcohol, Cool, Entertain (Storytelling), Evaluate, Gamble, Gossip, Language (Classical), Lore (Any One), Research</t>
        </is>
      </c>
      <c r="H186" t="inlineStr">
        <is>
          <t>Bookish, Etiquette (Scholars), Read/Write, Savvy</t>
        </is>
      </c>
      <c r="I186" t="inlineStr">
        <is>
          <t>Alcohol, Book</t>
        </is>
      </c>
      <c r="J186" t="inlineStr">
        <is>
          <t>|Art (Writing)|Consume Alcohol|Cool|Entertain (Storytelling)|Evaluate|Gamble|Gossip|Language (Classical)|Lore (any)|Research|</t>
        </is>
      </c>
      <c r="K186" t="inlineStr">
        <is>
          <t>|Bookish|Etiquette (Scholars)|Read/Write|Savvy|</t>
        </is>
      </c>
      <c r="L186" t="inlineStr">
        <is>
          <t>You dedicate yourself to the pursuit and study of knowledge, wherever that may take you.</t>
        </is>
      </c>
      <c r="M186" t="inlineStr">
        <is>
          <t>Lore (Any One)</t>
        </is>
      </c>
      <c r="N186" t="inlineStr">
        <is>
          <t>Dwarf, Halfling, High Elf, Human, Wood Elf</t>
        </is>
      </c>
      <c r="O186" t="n">
        <v>91</v>
      </c>
      <c r="S186" t="n">
        <v>4</v>
      </c>
      <c r="T186" t="n">
        <v>3</v>
      </c>
      <c r="V186" t="n">
        <v>1</v>
      </c>
      <c r="W186" t="n">
        <v>1</v>
      </c>
      <c r="X186" t="n">
        <v>1</v>
      </c>
      <c r="Y186" t="n">
        <v>2</v>
      </c>
    </row>
    <row r="187">
      <c r="A187" t="inlineStr">
        <is>
          <t>Scholar|2</t>
        </is>
      </c>
      <c r="B187" t="inlineStr">
        <is>
          <t>Scholar</t>
        </is>
      </c>
      <c r="C187" t="n">
        <v>2</v>
      </c>
      <c r="D187" t="inlineStr">
        <is>
          <t>Academic</t>
        </is>
      </c>
      <c r="E187" t="inlineStr">
        <is>
          <t>Scholar</t>
        </is>
      </c>
      <c r="F187" t="inlineStr">
        <is>
          <t>Silver 1</t>
        </is>
      </c>
      <c r="G187" t="inlineStr">
        <is>
          <t>Charm, Intuition, Language (Any One), Lore (Any One), Melee (Brawling), Navigation</t>
        </is>
      </c>
      <c r="H187" t="inlineStr">
        <is>
          <t>Linguistics, Numismatics, Speedreader, Super Numerate</t>
        </is>
      </c>
      <c r="I187" t="inlineStr">
        <is>
          <t>Access to a Library, Degree</t>
        </is>
      </c>
      <c r="J187" t="inlineStr">
        <is>
          <t>|Art (Writing)|Consume Alcohol|Cool|Entertain (Storytelling)|Evaluate|Gamble|Gossip|Language (Classical)|Lore (any)|Research|Charm|Intuition|Language (any)|Melee (Brawling)|Navigation|</t>
        </is>
      </c>
      <c r="K187" t="inlineStr">
        <is>
          <t>|Bookish|Etiquette (Scholars)|Read/Write|Savvy|Linguistics|Numismatics|Speedreader|Super Numerate|</t>
        </is>
      </c>
      <c r="L187" t="inlineStr">
        <is>
          <t>You dedicate yourself to the pursuit and study of knowledge, wherever that may take you.</t>
        </is>
      </c>
      <c r="M187" t="inlineStr">
        <is>
          <t>Lore (Any One)</t>
        </is>
      </c>
      <c r="N187" t="inlineStr">
        <is>
          <t>Dwarf, Halfling, High Elf, Human, Wood Elf</t>
        </is>
      </c>
      <c r="O187" t="n">
        <v>91</v>
      </c>
      <c r="S187" t="n">
        <v>4</v>
      </c>
      <c r="T187" t="n">
        <v>3</v>
      </c>
      <c r="V187" t="n">
        <v>1</v>
      </c>
      <c r="W187" t="n">
        <v>1</v>
      </c>
      <c r="X187" t="n">
        <v>1</v>
      </c>
      <c r="Y187" t="n">
        <v>2</v>
      </c>
    </row>
    <row r="188">
      <c r="A188" t="inlineStr">
        <is>
          <t>Scholar|3</t>
        </is>
      </c>
      <c r="B188" t="inlineStr">
        <is>
          <t>Scholar</t>
        </is>
      </c>
      <c r="C188" t="n">
        <v>3</v>
      </c>
      <c r="D188" t="inlineStr">
        <is>
          <t>Academic</t>
        </is>
      </c>
      <c r="E188" t="inlineStr">
        <is>
          <t>Fellow</t>
        </is>
      </c>
      <c r="F188" t="inlineStr">
        <is>
          <t>Silver 5</t>
        </is>
      </c>
      <c r="G188" t="inlineStr">
        <is>
          <t>Entertain (Lecture), Intimidate, Language (Any One), Lore (Any One)</t>
        </is>
      </c>
      <c r="H188" t="inlineStr">
        <is>
          <t>Blather, Public Speaker, Savant (Any One), Tower of Memories</t>
        </is>
      </c>
      <c r="I188" t="inlineStr">
        <is>
          <t>Mortarboard, Robes</t>
        </is>
      </c>
      <c r="J188" t="inlineStr">
        <is>
          <t>|Art (Writing)|Consume Alcohol|Cool|Entertain (Storytelling)|Evaluate|Gamble|Gossip|Language (Classical)|Lore (any)|Research|Charm|Intuition|Language (any)|Melee (Brawling)|Navigation|Entertain (Lecture)|Intimidate|</t>
        </is>
      </c>
      <c r="K188" t="inlineStr">
        <is>
          <t>|Bookish|Etiquette (Scholars)|Read/Write|Savvy|Linguistics|Numismatics|Speedreader|Super Numerate|Blather|Public Speaker|Savant (any)|Tower of Memories|</t>
        </is>
      </c>
      <c r="L188" t="inlineStr">
        <is>
          <t>You dedicate yourself to the pursuit and study of knowledge, wherever that may take you.</t>
        </is>
      </c>
      <c r="M188" t="inlineStr">
        <is>
          <t>Lore (Any One)</t>
        </is>
      </c>
      <c r="N188" t="inlineStr">
        <is>
          <t>Dwarf, Halfling, High Elf, Human, Wood Elf</t>
        </is>
      </c>
      <c r="O188" t="n">
        <v>91</v>
      </c>
      <c r="S188" t="n">
        <v>4</v>
      </c>
      <c r="T188" t="n">
        <v>3</v>
      </c>
      <c r="V188" t="n">
        <v>1</v>
      </c>
      <c r="W188" t="n">
        <v>1</v>
      </c>
      <c r="X188" t="n">
        <v>1</v>
      </c>
      <c r="Y188" t="n">
        <v>2</v>
      </c>
    </row>
    <row r="189">
      <c r="A189" t="inlineStr">
        <is>
          <t>Scholar|4</t>
        </is>
      </c>
      <c r="B189" t="inlineStr">
        <is>
          <t>Scholar</t>
        </is>
      </c>
      <c r="C189" t="n">
        <v>4</v>
      </c>
      <c r="D189" t="inlineStr">
        <is>
          <t>Academic</t>
        </is>
      </c>
      <c r="E189" t="inlineStr">
        <is>
          <t>Professor</t>
        </is>
      </c>
      <c r="F189" t="inlineStr">
        <is>
          <t>Gold 1</t>
        </is>
      </c>
      <c r="G189" t="inlineStr">
        <is>
          <t>Entertain (Rhetoric), Language (Any One) or Lore (Any One)</t>
        </is>
      </c>
      <c r="H189" t="inlineStr">
        <is>
          <t>Argumentative, Magnum Opus, Master Orator, Savant (Any One)</t>
        </is>
      </c>
      <c r="I189" t="inlineStr">
        <is>
          <t>Study</t>
        </is>
      </c>
      <c r="J189" t="inlineStr">
        <is>
          <t>|Art (Writing)|Consume Alcohol|Cool|Entertain (Storytelling)|Evaluate|Gamble|Gossip|Language (Classical)|Lore (any)|Research|Charm|Intuition|Language (any)|Melee (Brawling)|Navigation|Entertain (Lecture)|Intimidate|Entertain (Rhetoric)|</t>
        </is>
      </c>
      <c r="K189" t="inlineStr">
        <is>
          <t>|Bookish|Etiquette (Scholars)|Read/Write|Savvy|Linguistics|Numismatics|Speedreader|Super Numerate|Blather|Public Speaker|Savant (any)|Tower of Memories|Argumentative|Magnum Opus|Master Orator|</t>
        </is>
      </c>
      <c r="L189" t="inlineStr">
        <is>
          <t>You dedicate yourself to the pursuit and study of knowledge, wherever that may take you.</t>
        </is>
      </c>
      <c r="M189" t="inlineStr">
        <is>
          <t>Lore (Any One)</t>
        </is>
      </c>
      <c r="N189" t="inlineStr">
        <is>
          <t>Dwarf, Halfling, High Elf, Human, Wood Elf</t>
        </is>
      </c>
      <c r="O189" t="n">
        <v>91</v>
      </c>
      <c r="S189" t="n">
        <v>4</v>
      </c>
      <c r="T189" t="n">
        <v>3</v>
      </c>
      <c r="V189" t="n">
        <v>1</v>
      </c>
      <c r="W189" t="n">
        <v>1</v>
      </c>
      <c r="X189" t="n">
        <v>1</v>
      </c>
      <c r="Y189" t="n">
        <v>2</v>
      </c>
    </row>
    <row r="190">
      <c r="A190" t="inlineStr">
        <is>
          <t>Scout|1</t>
        </is>
      </c>
      <c r="B190" t="inlineStr">
        <is>
          <t>Scout</t>
        </is>
      </c>
      <c r="C190" t="n">
        <v>1</v>
      </c>
      <c r="D190" t="inlineStr">
        <is>
          <t>Peasant</t>
        </is>
      </c>
      <c r="E190" t="inlineStr">
        <is>
          <t>Guide</t>
        </is>
      </c>
      <c r="F190" t="inlineStr">
        <is>
          <t>Brass 3</t>
        </is>
      </c>
      <c r="G190" t="inlineStr">
        <is>
          <t>Athletics, Climb, Endurance, Gossip, Lore (Local), Melee (Basic), Navigation, Outdoor Survival, Perception, Stealth (Rural)</t>
        </is>
      </c>
      <c r="H190" t="inlineStr">
        <is>
          <t>Orientation, Night Vision, Rover, Striding Gait (All)</t>
        </is>
      </c>
      <c r="I190" t="inlineStr">
        <is>
          <t>Hand Weapon, Leather Jack, Sturdy Boots and Cloak, Rope</t>
        </is>
      </c>
      <c r="J190" t="inlineStr">
        <is>
          <t>|Athletics|Climb|Endurance|Gossip|Lore (Local)|Melee (Basic)|Navigation|Outdoor Survival|Perception|Stealth (Rural)|</t>
        </is>
      </c>
      <c r="K190" t="inlineStr">
        <is>
          <t>|Orientation|Night Vision|Rover|Striding Gait (any)|</t>
        </is>
      </c>
      <c r="L190" t="inlineStr">
        <is>
          <t>Intrepid and resourceful, you guide others through the dangerous wilds of the Old World.</t>
        </is>
      </c>
      <c r="M190" t="inlineStr">
        <is>
          <t>Navigation</t>
        </is>
      </c>
      <c r="N190" t="inlineStr">
        <is>
          <t>Dwarf, Halfling, High Elf, Human, Wood Elf</t>
        </is>
      </c>
      <c r="O190" t="n">
        <v>92</v>
      </c>
      <c r="Q190" t="n">
        <v>2</v>
      </c>
      <c r="S190" t="n">
        <v>1</v>
      </c>
      <c r="T190" t="n">
        <v>1</v>
      </c>
      <c r="U190" t="n">
        <v>1</v>
      </c>
      <c r="V190" t="n">
        <v>4</v>
      </c>
      <c r="W190" t="n">
        <v>3</v>
      </c>
    </row>
    <row r="191">
      <c r="A191" t="inlineStr">
        <is>
          <t>Scout|2</t>
        </is>
      </c>
      <c r="B191" t="inlineStr">
        <is>
          <t>Scout</t>
        </is>
      </c>
      <c r="C191" t="n">
        <v>2</v>
      </c>
      <c r="D191" t="inlineStr">
        <is>
          <t>Peasant</t>
        </is>
      </c>
      <c r="E191" t="inlineStr">
        <is>
          <t>Scout</t>
        </is>
      </c>
      <c r="F191" t="inlineStr">
        <is>
          <t>Brass 5</t>
        </is>
      </c>
      <c r="G191" t="inlineStr">
        <is>
          <t>Charm Animal, Cool, Ranged (Bow, Crossbow, or Sling), Secret Signs (Scout), Stealth (Underground), Swim, Track</t>
        </is>
      </c>
      <c r="H191" t="inlineStr">
        <is>
          <t>Acute Sense (Sight), Flee!, Seasoned Traveller, Sixth Sense</t>
        </is>
      </c>
      <c r="I191" t="inlineStr">
        <is>
          <t>Bow with 10 Arrows or Crossbow with 10 Bolts or Sling with 10 Lead Bullets, Mail Shirt</t>
        </is>
      </c>
      <c r="J191" t="inlineStr">
        <is>
          <t>|Athletics|Climb|Endurance|Gossip|Lore (Local)|Melee (Basic)|Navigation|Outdoor Survival|Perception|Stealth (Rural)|Charm Animal|Cool|Ranged (Bow)|Ranged (Crossbow)|Ranged (Sling)|Secret Signs (Scout)|Stealth (Underground)|Swim|Track|</t>
        </is>
      </c>
      <c r="K191" t="inlineStr">
        <is>
          <t>|Orientation|Night Vision|Rover|Striding Gait (any)|Acute Sense (Sight)|Flee!|Seasoned Traveller|Sixth Sense|</t>
        </is>
      </c>
      <c r="L191" t="inlineStr">
        <is>
          <t>Intrepid and resourceful, you guide others through the dangerous wilds of the Old World.</t>
        </is>
      </c>
      <c r="M191" t="inlineStr">
        <is>
          <t>Navigation</t>
        </is>
      </c>
      <c r="N191" t="inlineStr">
        <is>
          <t>Dwarf, Halfling, High Elf, Human, Wood Elf</t>
        </is>
      </c>
      <c r="O191" t="n">
        <v>92</v>
      </c>
      <c r="Q191" t="n">
        <v>2</v>
      </c>
      <c r="S191" t="n">
        <v>1</v>
      </c>
      <c r="T191" t="n">
        <v>1</v>
      </c>
      <c r="U191" t="n">
        <v>1</v>
      </c>
      <c r="V191" t="n">
        <v>4</v>
      </c>
      <c r="W191" t="n">
        <v>3</v>
      </c>
    </row>
    <row r="192">
      <c r="A192" t="inlineStr">
        <is>
          <t>Scout|3</t>
        </is>
      </c>
      <c r="B192" t="inlineStr">
        <is>
          <t>Scout</t>
        </is>
      </c>
      <c r="C192" t="n">
        <v>3</v>
      </c>
      <c r="D192" t="inlineStr">
        <is>
          <t>Peasant</t>
        </is>
      </c>
      <c r="E192" t="inlineStr">
        <is>
          <t>Pathfinder</t>
        </is>
      </c>
      <c r="F192" t="inlineStr">
        <is>
          <t>Silver 1</t>
        </is>
      </c>
      <c r="G192" t="inlineStr">
        <is>
          <t>Animal Care, Haggle, Lore (Geography), Ride (Horse)</t>
        </is>
      </c>
      <c r="H192" t="inlineStr">
        <is>
          <t>Combat Aware, Hardy, Shadow, Sharp</t>
        </is>
      </c>
      <c r="I192" t="inlineStr">
        <is>
          <t>Map, Riding Horse, Saddlebags with 2 weeks' Rations, Tent</t>
        </is>
      </c>
      <c r="J192" t="inlineStr">
        <is>
          <t>|Athletics|Climb|Endurance|Gossip|Lore (Local)|Melee (Basic)|Navigation|Outdoor Survival|Perception|Stealth (Rural)|Charm Animal|Cool|Ranged (Bow)|Ranged (Crossbow)|Ranged (Sling)|Secret Signs (Scout)|Stealth (Underground)|Swim|Track|Animal Care|Haggle|Lore (Geography)|Ride (Horse)|</t>
        </is>
      </c>
      <c r="K192" t="inlineStr">
        <is>
          <t>|Orientation|Night Vision|Rover|Striding Gait (any)|Acute Sense (Sight)|Flee!|Seasoned Traveller|Sixth Sense|Combat Aware|Hardy|Shadow|Sharp|</t>
        </is>
      </c>
      <c r="L192" t="inlineStr">
        <is>
          <t>Intrepid and resourceful, you guide others through the dangerous wilds of the Old World.</t>
        </is>
      </c>
      <c r="M192" t="inlineStr">
        <is>
          <t>Navigation</t>
        </is>
      </c>
      <c r="N192" t="inlineStr">
        <is>
          <t>Dwarf, Halfling, High Elf, Human, Wood Elf</t>
        </is>
      </c>
      <c r="O192" t="n">
        <v>92</v>
      </c>
      <c r="Q192" t="n">
        <v>2</v>
      </c>
      <c r="S192" t="n">
        <v>1</v>
      </c>
      <c r="T192" t="n">
        <v>1</v>
      </c>
      <c r="U192" t="n">
        <v>1</v>
      </c>
      <c r="V192" t="n">
        <v>4</v>
      </c>
      <c r="W192" t="n">
        <v>3</v>
      </c>
    </row>
    <row r="193">
      <c r="A193" t="inlineStr">
        <is>
          <t>Scout|4</t>
        </is>
      </c>
      <c r="B193" t="inlineStr">
        <is>
          <t>Scout</t>
        </is>
      </c>
      <c r="C193" t="n">
        <v>4</v>
      </c>
      <c r="D193" t="inlineStr">
        <is>
          <t>Peasant</t>
        </is>
      </c>
      <c r="E193" t="inlineStr">
        <is>
          <t>Explorer</t>
        </is>
      </c>
      <c r="F193" t="inlineStr">
        <is>
          <t>Silver 5</t>
        </is>
      </c>
      <c r="G193" t="inlineStr">
        <is>
          <t>Language (Any One), Trade (Cartographer)</t>
        </is>
      </c>
      <c r="H193" t="inlineStr">
        <is>
          <t>Craftsman (Cartographer), Linguistics, Read/Write, Well-prepared</t>
        </is>
      </c>
      <c r="I193" t="inlineStr">
        <is>
          <t>Selection of Maps, Trade Tools (Cartographer)</t>
        </is>
      </c>
      <c r="J193" t="inlineStr">
        <is>
          <t>|Athletics|Climb|Endurance|Gossip|Lore (Local)|Melee (Basic)|Navigation|Outdoor Survival|Perception|Stealth (Rural)|Charm Animal|Cool|Ranged (Bow)|Ranged (Crossbow)|Ranged (Sling)|Secret Signs (Scout)|Stealth (Underground)|Swim|Track|Animal Care|Haggle|Lore (Geography)|Ride (Horse)|Language (any)|Trade (Cartographer)|</t>
        </is>
      </c>
      <c r="K193" t="inlineStr">
        <is>
          <t>|Orientation|Night Vision|Rover|Striding Gait (any)|Acute Sense (Sight)|Flee!|Seasoned Traveller|Sixth Sense|Combat Aware|Hardy|Shadow|Sharp|Craftsman (Cartographer)|Linguistics|Read/Write|Well-prepared|</t>
        </is>
      </c>
      <c r="L193" t="inlineStr">
        <is>
          <t>Intrepid and resourceful, you guide others through the dangerous wilds of the Old World.</t>
        </is>
      </c>
      <c r="M193" t="inlineStr">
        <is>
          <t>Navigation</t>
        </is>
      </c>
      <c r="N193" t="inlineStr">
        <is>
          <t>Dwarf, Halfling, High Elf, Human, Wood Elf</t>
        </is>
      </c>
      <c r="O193" t="n">
        <v>92</v>
      </c>
      <c r="Q193" t="n">
        <v>2</v>
      </c>
      <c r="S193" t="n">
        <v>1</v>
      </c>
      <c r="T193" t="n">
        <v>1</v>
      </c>
      <c r="U193" t="n">
        <v>1</v>
      </c>
      <c r="V193" t="n">
        <v>4</v>
      </c>
      <c r="W193" t="n">
        <v>3</v>
      </c>
    </row>
    <row r="194">
      <c r="A194" t="inlineStr">
        <is>
          <t>Servant|1</t>
        </is>
      </c>
      <c r="B194" t="inlineStr">
        <is>
          <t>Servant</t>
        </is>
      </c>
      <c r="C194" t="n">
        <v>1</v>
      </c>
      <c r="D194" t="inlineStr">
        <is>
          <t>Courtier</t>
        </is>
      </c>
      <c r="E194" t="inlineStr">
        <is>
          <t>Menial</t>
        </is>
      </c>
      <c r="F194" t="inlineStr">
        <is>
          <t>Brass 3</t>
        </is>
      </c>
      <c r="G194" t="inlineStr">
        <is>
          <t>Animal Care, Athletics, Climb, Consume Alcohol, Dodge, Endurance, Gossip, Haggle, Intuition, Stealth (Any One)</t>
        </is>
      </c>
      <c r="H194" t="inlineStr">
        <is>
          <t>Beneath Notice, Etiquette (Servants), Strong Back, Tenacious</t>
        </is>
      </c>
      <c r="I194" t="inlineStr">
        <is>
          <t>Floor Brush</t>
        </is>
      </c>
      <c r="J194" t="inlineStr">
        <is>
          <t>|Animal Care|Athletics|Climb|Consume Alcohol|Dodge|Endurance|Gossip|Haggle|Intuition|Stealth (any)|</t>
        </is>
      </c>
      <c r="K194" t="inlineStr">
        <is>
          <t>|Beneath Notice|Etiquette (Servants)|Strong Back|Tenacious|</t>
        </is>
      </c>
      <c r="L194" t="inlineStr">
        <is>
          <t>You serve those with power and status, performing tasks in support of your master or mistress.</t>
        </is>
      </c>
      <c r="M194" t="inlineStr">
        <is>
          <t>Endurance</t>
        </is>
      </c>
      <c r="N194" t="inlineStr">
        <is>
          <t>Dwarf, Halfling, Human</t>
        </is>
      </c>
      <c r="O194" t="n">
        <v>93</v>
      </c>
      <c r="R194" t="n">
        <v>1</v>
      </c>
      <c r="S194" t="n">
        <v>1</v>
      </c>
      <c r="T194" t="n">
        <v>3</v>
      </c>
      <c r="U194" t="n">
        <v>1</v>
      </c>
      <c r="W194" t="n">
        <v>4</v>
      </c>
      <c r="Y194" t="n">
        <v>2</v>
      </c>
    </row>
    <row r="195">
      <c r="A195" t="inlineStr">
        <is>
          <t>Servant|2</t>
        </is>
      </c>
      <c r="B195" t="inlineStr">
        <is>
          <t>Servant</t>
        </is>
      </c>
      <c r="C195" t="n">
        <v>2</v>
      </c>
      <c r="D195" t="inlineStr">
        <is>
          <t>Courtier</t>
        </is>
      </c>
      <c r="E195" t="inlineStr">
        <is>
          <t>Servant</t>
        </is>
      </c>
      <c r="F195" t="inlineStr">
        <is>
          <t>Brass 4</t>
        </is>
      </c>
      <c r="G195" t="inlineStr">
        <is>
          <t>Animal Training (Dog or Horse), Charm, Charm Animal, Drive, Gamble, Lore (Local)</t>
        </is>
      </c>
      <c r="H195" t="inlineStr">
        <is>
          <t>Etiquette (Any One), Gregarious, Shadow, Well-prepared</t>
        </is>
      </c>
      <c r="I195" t="inlineStr">
        <is>
          <t>Livery</t>
        </is>
      </c>
      <c r="J195" t="inlineStr">
        <is>
          <t>|Animal Care|Athletics|Climb|Consume Alcohol|Dodge|Endurance|Gossip|Haggle|Intuition|Stealth (any)|Animal Training (Dog)|Animal Training (Horse)|Charm|Charm Animal|Drive|Gamble|Lore (Local)|</t>
        </is>
      </c>
      <c r="K195" t="inlineStr">
        <is>
          <t>|Beneath Notice|Etiquette (Servants)|Strong Back|Tenacious|Etiquette (any)|Gregarious|Shadow|Well-prepared|</t>
        </is>
      </c>
      <c r="L195" t="inlineStr">
        <is>
          <t>You serve those with power and status, performing tasks in support of your master or mistress.</t>
        </is>
      </c>
      <c r="M195" t="inlineStr">
        <is>
          <t>Endurance</t>
        </is>
      </c>
      <c r="N195" t="inlineStr">
        <is>
          <t>Dwarf, Halfling, Human</t>
        </is>
      </c>
      <c r="O195" t="n">
        <v>93</v>
      </c>
      <c r="R195" t="n">
        <v>1</v>
      </c>
      <c r="S195" t="n">
        <v>1</v>
      </c>
      <c r="T195" t="n">
        <v>3</v>
      </c>
      <c r="U195" t="n">
        <v>1</v>
      </c>
      <c r="W195" t="n">
        <v>4</v>
      </c>
      <c r="Y195" t="n">
        <v>2</v>
      </c>
    </row>
    <row r="196">
      <c r="A196" t="inlineStr">
        <is>
          <t>Servant|3</t>
        </is>
      </c>
      <c r="B196" t="inlineStr">
        <is>
          <t>Servant</t>
        </is>
      </c>
      <c r="C196" t="n">
        <v>3</v>
      </c>
      <c r="D196" t="inlineStr">
        <is>
          <t>Courtier</t>
        </is>
      </c>
      <c r="E196" t="inlineStr">
        <is>
          <t>Attendant</t>
        </is>
      </c>
      <c r="F196" t="inlineStr">
        <is>
          <t>Silver 3</t>
        </is>
      </c>
      <c r="G196" t="inlineStr">
        <is>
          <t>Cool, Evaluate, Intimidate, Lore (Politics)</t>
        </is>
      </c>
      <c r="H196" t="inlineStr">
        <is>
          <t>Read/Write, Resistant (Poison), Suave, Supportive</t>
        </is>
      </c>
      <c r="I196" t="inlineStr">
        <is>
          <t>Lamp Oil, Quality Livery, Storm Lantern, Tinderbox</t>
        </is>
      </c>
      <c r="J196" t="inlineStr">
        <is>
          <t>|Animal Care|Athletics|Climb|Consume Alcohol|Dodge|Endurance|Gossip|Haggle|Intuition|Stealth (any)|Animal Training (Dog)|Animal Training (Horse)|Charm|Charm Animal|Drive|Gamble|Lore (Local)|Cool|Evaluate|Intimidate|Lore (Politics)|</t>
        </is>
      </c>
      <c r="K196" t="inlineStr">
        <is>
          <t>|Beneath Notice|Etiquette (Servants)|Strong Back|Tenacious|Etiquette (any)|Gregarious|Shadow|Well-prepared|Read/Write|Resistant (Poison)|Suave|Supportive|</t>
        </is>
      </c>
      <c r="L196" t="inlineStr">
        <is>
          <t>You serve those with power and status, performing tasks in support of your master or mistress.</t>
        </is>
      </c>
      <c r="M196" t="inlineStr">
        <is>
          <t>Endurance</t>
        </is>
      </c>
      <c r="N196" t="inlineStr">
        <is>
          <t>Dwarf, Halfling, Human</t>
        </is>
      </c>
      <c r="O196" t="n">
        <v>93</v>
      </c>
      <c r="R196" t="n">
        <v>1</v>
      </c>
      <c r="S196" t="n">
        <v>1</v>
      </c>
      <c r="T196" t="n">
        <v>3</v>
      </c>
      <c r="U196" t="n">
        <v>1</v>
      </c>
      <c r="W196" t="n">
        <v>4</v>
      </c>
      <c r="Y196" t="n">
        <v>2</v>
      </c>
    </row>
    <row r="197">
      <c r="A197" t="inlineStr">
        <is>
          <t>Servant|4</t>
        </is>
      </c>
      <c r="B197" t="inlineStr">
        <is>
          <t>Servant</t>
        </is>
      </c>
      <c r="C197" t="n">
        <v>4</v>
      </c>
      <c r="D197" t="inlineStr">
        <is>
          <t>Courtier</t>
        </is>
      </c>
      <c r="E197" t="inlineStr">
        <is>
          <t>Steward</t>
        </is>
      </c>
      <c r="F197" t="inlineStr">
        <is>
          <t>Gold 1</t>
        </is>
      </c>
      <c r="G197" t="inlineStr">
        <is>
          <t>Leadership, Melee (Basic)</t>
        </is>
      </c>
      <c r="H197" t="inlineStr">
        <is>
          <t>Commanding Presence, Embezzle, Savvy, Schemer</t>
        </is>
      </c>
      <c r="I197" t="inlineStr">
        <is>
          <t>Hand Weapon, Fine Clothes, Servant</t>
        </is>
      </c>
      <c r="J197" t="inlineStr">
        <is>
          <t>|Animal Care|Athletics|Climb|Consume Alcohol|Dodge|Endurance|Gossip|Haggle|Intuition|Stealth (any)|Animal Training (Dog)|Animal Training (Horse)|Charm|Charm Animal|Drive|Gamble|Lore (Local)|Cool|Evaluate|Intimidate|Lore (Politics)|Leadership|Melee (Basic)|</t>
        </is>
      </c>
      <c r="K197" t="inlineStr">
        <is>
          <t>|Beneath Notice|Etiquette (Servants)|Strong Back|Tenacious|Etiquette (any)|Gregarious|Shadow|Well-prepared|Read/Write|Resistant (Poison)|Suave|Supportive|Commanding Presence|Embezzle|Savvy|Schemer|</t>
        </is>
      </c>
      <c r="L197" t="inlineStr">
        <is>
          <t>You serve those with power and status, performing tasks in support of your master or mistress.</t>
        </is>
      </c>
      <c r="M197" t="inlineStr">
        <is>
          <t>Endurance</t>
        </is>
      </c>
      <c r="N197" t="inlineStr">
        <is>
          <t>Dwarf, Halfling, Human</t>
        </is>
      </c>
      <c r="O197" t="n">
        <v>93</v>
      </c>
      <c r="R197" t="n">
        <v>1</v>
      </c>
      <c r="S197" t="n">
        <v>1</v>
      </c>
      <c r="T197" t="n">
        <v>3</v>
      </c>
      <c r="U197" t="n">
        <v>1</v>
      </c>
      <c r="W197" t="n">
        <v>4</v>
      </c>
      <c r="Y197" t="n">
        <v>2</v>
      </c>
    </row>
    <row r="198">
      <c r="A198" t="inlineStr">
        <is>
          <t>Slayer|1</t>
        </is>
      </c>
      <c r="B198" t="inlineStr">
        <is>
          <t>Slayer</t>
        </is>
      </c>
      <c r="C198" t="n">
        <v>1</v>
      </c>
      <c r="D198" t="inlineStr">
        <is>
          <t>Warrior</t>
        </is>
      </c>
      <c r="E198" t="inlineStr">
        <is>
          <t>Troll Slayer</t>
        </is>
      </c>
      <c r="F198" t="inlineStr">
        <is>
          <t>Brass 2</t>
        </is>
      </c>
      <c r="G198" t="inlineStr">
        <is>
          <t>Athletics, Consume Alcohol, Cool, Dodge, Endurance, Heal, Language (Battle), Lore (Trolls), Melee (Basic), Play (Horn)</t>
        </is>
      </c>
      <c r="H198" t="inlineStr">
        <is>
          <t>Dual Wielder, Fearless (Everything), Frenzy, Slayer</t>
        </is>
      </c>
      <c r="I198" t="inlineStr">
        <is>
          <t>Flask of Spirits, Hand Weapon (Dwarf Axe), Tattoos</t>
        </is>
      </c>
      <c r="J198" t="inlineStr">
        <is>
          <t>|Athletics|Consume Alcohol|Cool|Dodge|Endurance|Heal|Language (Battle)|Lore (Trolls)|Melee (Basic)|Play (Horn)|</t>
        </is>
      </c>
      <c r="K198" t="inlineStr">
        <is>
          <t>|Dual Wielder|Fearless (Everything)|Frenzy|Slayer|</t>
        </is>
      </c>
      <c r="L198" t="inlineStr">
        <is>
          <t>You are shame incarnate, seeking a worthy death to reclaim your lost honour.</t>
        </is>
      </c>
      <c r="M198" t="inlineStr">
        <is>
          <t>Melee (Basic)</t>
        </is>
      </c>
      <c r="N198" t="inlineStr">
        <is>
          <t>Dwarf</t>
        </is>
      </c>
      <c r="O198" t="n">
        <v>94</v>
      </c>
      <c r="P198" t="n">
        <v>1</v>
      </c>
      <c r="R198" t="n">
        <v>1</v>
      </c>
      <c r="S198" t="n">
        <v>2</v>
      </c>
      <c r="T198" t="n">
        <v>4</v>
      </c>
      <c r="U198" t="n">
        <v>3</v>
      </c>
      <c r="X198" t="n">
        <v>1</v>
      </c>
    </row>
    <row r="199">
      <c r="A199" t="inlineStr">
        <is>
          <t>Slayer|2</t>
        </is>
      </c>
      <c r="B199" t="inlineStr">
        <is>
          <t>Slayer</t>
        </is>
      </c>
      <c r="C199" t="n">
        <v>2</v>
      </c>
      <c r="D199" t="inlineStr">
        <is>
          <t>Warrior</t>
        </is>
      </c>
      <c r="E199" t="inlineStr">
        <is>
          <t>Giant Slayer</t>
        </is>
      </c>
      <c r="F199" t="inlineStr">
        <is>
          <t>Brass 2</t>
        </is>
      </c>
      <c r="G199" t="inlineStr">
        <is>
          <t>Climb, Entertain (Storytelling), Intimidate, Lore (Giants), Melee (Two-handed), Outdoor Survival</t>
        </is>
      </c>
      <c r="H199" t="inlineStr">
        <is>
          <t>Hardy, Implacable, Menacing, Reversal</t>
        </is>
      </c>
      <c r="I199" t="inlineStr">
        <is>
          <t>Great Weapon (Dwarf Greataxe)</t>
        </is>
      </c>
      <c r="J199" t="inlineStr">
        <is>
          <t>|Athletics|Consume Alcohol|Cool|Dodge|Endurance|Heal|Language (Battle)|Lore (Trolls)|Melee (Basic)|Play (Horn)|Climb|Entertain (Storytelling)|Intimidate|Lore (Giants)|Melee (Two-handed)|Outdoor Survival|</t>
        </is>
      </c>
      <c r="K199" t="inlineStr">
        <is>
          <t>|Dual Wielder|Fearless (Everything)|Frenzy|Slayer|Hardy|Implacable|Menacing|Reversal|</t>
        </is>
      </c>
      <c r="L199" t="inlineStr">
        <is>
          <t>You are shame incarnate, seeking a worthy death to reclaim your lost honour.</t>
        </is>
      </c>
      <c r="M199" t="inlineStr">
        <is>
          <t>Melee (Basic)</t>
        </is>
      </c>
      <c r="N199" t="inlineStr">
        <is>
          <t>Dwarf</t>
        </is>
      </c>
      <c r="O199" t="n">
        <v>94</v>
      </c>
      <c r="P199" t="n">
        <v>1</v>
      </c>
      <c r="R199" t="n">
        <v>1</v>
      </c>
      <c r="S199" t="n">
        <v>2</v>
      </c>
      <c r="T199" t="n">
        <v>4</v>
      </c>
      <c r="U199" t="n">
        <v>3</v>
      </c>
      <c r="X199" t="n">
        <v>1</v>
      </c>
    </row>
    <row r="200">
      <c r="A200" t="inlineStr">
        <is>
          <t>Slayer|3</t>
        </is>
      </c>
      <c r="B200" t="inlineStr">
        <is>
          <t>Slayer</t>
        </is>
      </c>
      <c r="C200" t="n">
        <v>3</v>
      </c>
      <c r="D200" t="inlineStr">
        <is>
          <t>Warrior</t>
        </is>
      </c>
      <c r="E200" t="inlineStr">
        <is>
          <t>Dragon Slayer</t>
        </is>
      </c>
      <c r="F200" t="inlineStr">
        <is>
          <t>Brass 2</t>
        </is>
      </c>
      <c r="G200" t="inlineStr">
        <is>
          <t>Evaluate, Lore (Dragons), Perception, Ranged (Throwing)</t>
        </is>
      </c>
      <c r="H200" t="inlineStr">
        <is>
          <t>Ambidextrous, Furious Assault, Relentless, Robust</t>
        </is>
      </c>
      <c r="I200" t="inlineStr">
        <is>
          <t>2 Dwarf Throwing Axes</t>
        </is>
      </c>
      <c r="J200" t="inlineStr">
        <is>
          <t>|Athletics|Consume Alcohol|Cool|Dodge|Endurance|Heal|Language (Battle)|Lore (Trolls)|Melee (Basic)|Play (Horn)|Climb|Entertain (Storytelling)|Intimidate|Lore (Giants)|Melee (Two-handed)|Outdoor Survival|Evaluate|Lore (Dragons)|Perception|Ranged (Throwing)|</t>
        </is>
      </c>
      <c r="K200" t="inlineStr">
        <is>
          <t>|Dual Wielder|Fearless (Everything)|Frenzy|Slayer|Hardy|Implacable|Menacing|Reversal|Ambidextrous|Furious Assault|Relentless|Robust|</t>
        </is>
      </c>
      <c r="L200" t="inlineStr">
        <is>
          <t>You are shame incarnate, seeking a worthy death to reclaim your lost honour.</t>
        </is>
      </c>
      <c r="M200" t="inlineStr">
        <is>
          <t>Melee (Basic)</t>
        </is>
      </c>
      <c r="N200" t="inlineStr">
        <is>
          <t>Dwarf</t>
        </is>
      </c>
      <c r="O200" t="n">
        <v>94</v>
      </c>
      <c r="P200" t="n">
        <v>1</v>
      </c>
      <c r="R200" t="n">
        <v>1</v>
      </c>
      <c r="S200" t="n">
        <v>2</v>
      </c>
      <c r="T200" t="n">
        <v>4</v>
      </c>
      <c r="U200" t="n">
        <v>3</v>
      </c>
      <c r="X200" t="n">
        <v>1</v>
      </c>
    </row>
    <row r="201">
      <c r="A201" t="inlineStr">
        <is>
          <t>Slayer|4</t>
        </is>
      </c>
      <c r="B201" t="inlineStr">
        <is>
          <t>Slayer</t>
        </is>
      </c>
      <c r="C201" t="n">
        <v>4</v>
      </c>
      <c r="D201" t="inlineStr">
        <is>
          <t>Warrior</t>
        </is>
      </c>
      <c r="E201" t="inlineStr">
        <is>
          <t>Daemon Slayer</t>
        </is>
      </c>
      <c r="F201" t="inlineStr">
        <is>
          <t>Brass 2</t>
        </is>
      </c>
      <c r="G201" t="inlineStr">
        <is>
          <t>Lore (Daemons), Navigation</t>
        </is>
      </c>
      <c r="H201" t="inlineStr">
        <is>
          <t>Combat Master, Frightening, Strike Mighty Blow, Very Strong</t>
        </is>
      </c>
      <c r="I201" t="inlineStr">
        <is>
          <t>Rune Axe</t>
        </is>
      </c>
      <c r="J201" t="inlineStr">
        <is>
          <t>|Athletics|Consume Alcohol|Cool|Dodge|Endurance|Heal|Language (Battle)|Lore (Trolls)|Melee (Basic)|Play (Horn)|Climb|Entertain (Storytelling)|Intimidate|Lore (Giants)|Melee (Two-handed)|Outdoor Survival|Evaluate|Lore (Dragons)|Perception|Ranged (Throwing)|Lore (Daemons)|Navigation|</t>
        </is>
      </c>
      <c r="K201" t="inlineStr">
        <is>
          <t>|Dual Wielder|Fearless (Everything)|Frenzy|Slayer|Hardy|Implacable|Menacing|Reversal|Ambidextrous|Furious Assault|Relentless|Robust|Combat Master|Frightening|Strike Mighty Blow|Very Strong|</t>
        </is>
      </c>
      <c r="L201" t="inlineStr">
        <is>
          <t>You are shame incarnate, seeking a worthy death to reclaim your lost honour.</t>
        </is>
      </c>
      <c r="M201" t="inlineStr">
        <is>
          <t>Melee (Basic)</t>
        </is>
      </c>
      <c r="N201" t="inlineStr">
        <is>
          <t>Dwarf</t>
        </is>
      </c>
      <c r="O201" t="n">
        <v>94</v>
      </c>
      <c r="P201" t="n">
        <v>1</v>
      </c>
      <c r="R201" t="n">
        <v>1</v>
      </c>
      <c r="S201" t="n">
        <v>2</v>
      </c>
      <c r="T201" t="n">
        <v>4</v>
      </c>
      <c r="U201" t="n">
        <v>3</v>
      </c>
      <c r="X201" t="n">
        <v>1</v>
      </c>
    </row>
    <row r="202">
      <c r="A202" t="inlineStr">
        <is>
          <t>Smuggler|1</t>
        </is>
      </c>
      <c r="B202" t="inlineStr">
        <is>
          <t>Smuggler</t>
        </is>
      </c>
      <c r="C202" t="n">
        <v>1</v>
      </c>
      <c r="D202" t="inlineStr">
        <is>
          <t>Riverfolk</t>
        </is>
      </c>
      <c r="E202" t="inlineStr">
        <is>
          <t>River Runner</t>
        </is>
      </c>
      <c r="F202" t="inlineStr">
        <is>
          <t>Brass 4</t>
        </is>
      </c>
      <c r="G202" t="inlineStr">
        <is>
          <t>Athletics, Consume Alcohol, Cool, Endurance, Lore (Local), Perception, Row, Sail, Stealth (Rural or Urban), Swim</t>
        </is>
      </c>
      <c r="H202" t="inlineStr">
        <is>
          <t>Criminal, Fisherman, Striding Gait (Wetland), Strong Back</t>
        </is>
      </c>
      <c r="I202" t="inlineStr">
        <is>
          <t>Large Sack, Mask or Scarves, Storm Lantern and Oil, Tinderbox</t>
        </is>
      </c>
      <c r="J202" t="inlineStr">
        <is>
          <t>|Athletics|Consume Alcohol|Cool|Endurance|Lore (Local)|Perception|Row|Sail|Stealth (Rural)|Stealth (Urban)|Swim|</t>
        </is>
      </c>
      <c r="K202" t="inlineStr">
        <is>
          <t>|Criminal|Fisherman|Striding Gait (Wetland)|Strong Back|</t>
        </is>
      </c>
      <c r="L202" t="inlineStr">
        <is>
          <t>You conceal and shift contraband, avoiding taxes and the authorities who would hang you from the yard arm.</t>
        </is>
      </c>
      <c r="M202" t="inlineStr">
        <is>
          <t>Stealth (Rural Urban)</t>
        </is>
      </c>
      <c r="N202" t="inlineStr">
        <is>
          <t>Dwarf, Halfling, High Elf, Human</t>
        </is>
      </c>
      <c r="O202" t="n">
        <v>95</v>
      </c>
      <c r="R202" t="n">
        <v>1</v>
      </c>
      <c r="T202" t="n">
        <v>1</v>
      </c>
      <c r="U202" t="n">
        <v>1</v>
      </c>
      <c r="W202" t="n">
        <v>4</v>
      </c>
      <c r="X202" t="n">
        <v>2</v>
      </c>
      <c r="Y202" t="n">
        <v>3</v>
      </c>
    </row>
    <row r="203">
      <c r="A203" t="inlineStr">
        <is>
          <t>Smuggler|2</t>
        </is>
      </c>
      <c r="B203" t="inlineStr">
        <is>
          <t>Smuggler</t>
        </is>
      </c>
      <c r="C203" t="n">
        <v>2</v>
      </c>
      <c r="D203" t="inlineStr">
        <is>
          <t>Riverfolk</t>
        </is>
      </c>
      <c r="E203" t="inlineStr">
        <is>
          <t>Smuggler</t>
        </is>
      </c>
      <c r="F203" t="inlineStr">
        <is>
          <t>Silver 1</t>
        </is>
      </c>
      <c r="G203" t="inlineStr">
        <is>
          <t>Bribery, Evaluate, Haggle, Gossip, Melee (Basic), Secret Signs (Smuggler)</t>
        </is>
      </c>
      <c r="H203" t="inlineStr">
        <is>
          <t>Briber, Etiquette (Criminals), Night Vision, Waterman</t>
        </is>
      </c>
      <c r="I203" t="inlineStr">
        <is>
          <t>2 Barrels, Hand Weapon, Rowboat</t>
        </is>
      </c>
      <c r="J203" t="inlineStr">
        <is>
          <t>|Athletics|Consume Alcohol|Cool|Endurance|Lore (Local)|Perception|Row|Sail|Stealth (Rural)|Stealth (Urban)|Swim|Bribery|Evaluate|Haggle|Gossip|Melee (Basic)|Secret Signs (Smuggler)|</t>
        </is>
      </c>
      <c r="K203" t="inlineStr">
        <is>
          <t>|Criminal|Fisherman|Striding Gait (Wetland)|Strong Back|Briber|Etiquette (Criminals)|Night Vision|Waterman|</t>
        </is>
      </c>
      <c r="L203" t="inlineStr">
        <is>
          <t>You conceal and shift contraband, avoiding taxes and the authorities who would hang you from the yard arm.</t>
        </is>
      </c>
      <c r="M203" t="inlineStr">
        <is>
          <t>Stealth (Rural Urban)</t>
        </is>
      </c>
      <c r="N203" t="inlineStr">
        <is>
          <t>Dwarf, Halfling, High Elf, Human</t>
        </is>
      </c>
      <c r="O203" t="n">
        <v>95</v>
      </c>
      <c r="R203" t="n">
        <v>1</v>
      </c>
      <c r="T203" t="n">
        <v>1</v>
      </c>
      <c r="U203" t="n">
        <v>1</v>
      </c>
      <c r="W203" t="n">
        <v>4</v>
      </c>
      <c r="X203" t="n">
        <v>2</v>
      </c>
      <c r="Y203" t="n">
        <v>3</v>
      </c>
    </row>
    <row r="204">
      <c r="A204" t="inlineStr">
        <is>
          <t>Smuggler|3</t>
        </is>
      </c>
      <c r="B204" t="inlineStr">
        <is>
          <t>Smuggler</t>
        </is>
      </c>
      <c r="C204" t="n">
        <v>3</v>
      </c>
      <c r="D204" t="inlineStr">
        <is>
          <t>Riverfolk</t>
        </is>
      </c>
      <c r="E204" t="inlineStr">
        <is>
          <t>Master Smuggler</t>
        </is>
      </c>
      <c r="F204" t="inlineStr">
        <is>
          <t>Silver 5</t>
        </is>
      </c>
      <c r="G204" t="inlineStr">
        <is>
          <t>Intuition, Leadership, Lore (Riverways), Ranged (Blackpowder)</t>
        </is>
      </c>
      <c r="H204" t="inlineStr">
        <is>
          <t>Dealmaker, Fast Shot, Pilot, Seasoned Traveller</t>
        </is>
      </c>
      <c r="I204" t="inlineStr">
        <is>
          <t>Pistol with 10 Shots, River Runners, Speedy Barge</t>
        </is>
      </c>
      <c r="J204" t="inlineStr">
        <is>
          <t>|Athletics|Consume Alcohol|Cool|Endurance|Lore (Local)|Perception|Row|Sail|Stealth (Rural)|Stealth (Urban)|Swim|Bribery|Evaluate|Haggle|Gossip|Melee (Basic)|Secret Signs (Smuggler)|Intuition|Leadership|Lore (Riverways)|Ranged (Blackpowder)|</t>
        </is>
      </c>
      <c r="K204" t="inlineStr">
        <is>
          <t>|Criminal|Fisherman|Striding Gait (Wetland)|Strong Back|Briber|Etiquette (Criminals)|Night Vision|Waterman|Dealmaker|Fast Shot|Pilot|Seasoned Traveller|</t>
        </is>
      </c>
      <c r="L204" t="inlineStr">
        <is>
          <t>You conceal and shift contraband, avoiding taxes and the authorities who would hang you from the yard arm.</t>
        </is>
      </c>
      <c r="M204" t="inlineStr">
        <is>
          <t>Stealth (Rural Urban)</t>
        </is>
      </c>
      <c r="N204" t="inlineStr">
        <is>
          <t>Dwarf, Halfling, High Elf, Human</t>
        </is>
      </c>
      <c r="O204" t="n">
        <v>95</v>
      </c>
      <c r="R204" t="n">
        <v>1</v>
      </c>
      <c r="T204" t="n">
        <v>1</v>
      </c>
      <c r="U204" t="n">
        <v>1</v>
      </c>
      <c r="W204" t="n">
        <v>4</v>
      </c>
      <c r="X204" t="n">
        <v>2</v>
      </c>
      <c r="Y204" t="n">
        <v>3</v>
      </c>
    </row>
    <row r="205">
      <c r="A205" t="inlineStr">
        <is>
          <t>Smuggler|4</t>
        </is>
      </c>
      <c r="B205" t="inlineStr">
        <is>
          <t>Smuggler</t>
        </is>
      </c>
      <c r="C205" t="n">
        <v>4</v>
      </c>
      <c r="D205" t="inlineStr">
        <is>
          <t>Riverfolk</t>
        </is>
      </c>
      <c r="E205" t="inlineStr">
        <is>
          <t>Smuggler King</t>
        </is>
      </c>
      <c r="F205" t="inlineStr">
        <is>
          <t>Gold 3</t>
        </is>
      </c>
      <c r="G205" t="inlineStr">
        <is>
          <t>Language (Any One), Intimidate</t>
        </is>
      </c>
      <c r="H205" t="inlineStr">
        <is>
          <t>Fearless (Riverwardens), Kingpin, Savvy, Wealthy</t>
        </is>
      </c>
      <c r="I205" t="inlineStr">
        <is>
          <t>Disguise Kit, Small Fleet of Barges</t>
        </is>
      </c>
      <c r="J205" t="inlineStr">
        <is>
          <t>|Athletics|Consume Alcohol|Cool|Endurance|Lore (Local)|Perception|Row|Sail|Stealth (Rural)|Stealth (Urban)|Swim|Bribery|Evaluate|Haggle|Gossip|Melee (Basic)|Secret Signs (Smuggler)|Intuition|Leadership|Lore (Riverways)|Ranged (Blackpowder)|Language (any)|Intimidate|</t>
        </is>
      </c>
      <c r="K205" t="inlineStr">
        <is>
          <t>|Criminal|Fisherman|Striding Gait (Wetland)|Strong Back|Briber|Etiquette (Criminals)|Night Vision|Waterman|Dealmaker|Fast Shot|Pilot|Seasoned Traveller|Fearless (Riverwardens)|Kingpin|Savvy|Wealthy|</t>
        </is>
      </c>
      <c r="L205" t="inlineStr">
        <is>
          <t>You conceal and shift contraband, avoiding taxes and the authorities who would hang you from the yard arm.</t>
        </is>
      </c>
      <c r="M205" t="inlineStr">
        <is>
          <t>Stealth (Rural Urban)</t>
        </is>
      </c>
      <c r="N205" t="inlineStr">
        <is>
          <t>Dwarf, Halfling, High Elf, Human</t>
        </is>
      </c>
      <c r="O205" t="n">
        <v>95</v>
      </c>
      <c r="R205" t="n">
        <v>1</v>
      </c>
      <c r="T205" t="n">
        <v>1</v>
      </c>
      <c r="U205" t="n">
        <v>1</v>
      </c>
      <c r="W205" t="n">
        <v>4</v>
      </c>
      <c r="X205" t="n">
        <v>2</v>
      </c>
      <c r="Y205" t="n">
        <v>3</v>
      </c>
    </row>
    <row r="206">
      <c r="A206" t="inlineStr">
        <is>
          <t>Soldier|1</t>
        </is>
      </c>
      <c r="B206" t="inlineStr">
        <is>
          <t>Soldier</t>
        </is>
      </c>
      <c r="C206" t="n">
        <v>1</v>
      </c>
      <c r="D206" t="inlineStr">
        <is>
          <t>Warrior</t>
        </is>
      </c>
      <c r="E206" t="inlineStr">
        <is>
          <t>Recruit</t>
        </is>
      </c>
      <c r="F206" t="inlineStr">
        <is>
          <t>Brass 5</t>
        </is>
      </c>
      <c r="G206" t="inlineStr">
        <is>
          <t>Athletics, Climb, Cool, Dodge, Endurance, Gamble, Language (Battle), Melee (Any One), Melee (Basic), Ranged (Any One)</t>
        </is>
      </c>
      <c r="H206" t="inlineStr">
        <is>
          <t>Drilled, Etiquette (Soldiers), Strong Back, Warrior Born</t>
        </is>
      </c>
      <c r="I206" t="inlineStr">
        <is>
          <t>Leather Breastplate, Uniform, Weapon (Any One)</t>
        </is>
      </c>
      <c r="J206" t="inlineStr">
        <is>
          <t>|Athletics|Climb|Cool|Dodge|Endurance|Gamble|Language (Battle)|Melee (any)|Melee (Basic)|Ranged (any)|</t>
        </is>
      </c>
      <c r="K206" t="inlineStr">
        <is>
          <t>|Drilled|Etiquette (Soldiers)|Strong Back|Warrior Born|</t>
        </is>
      </c>
      <c r="L206" t="inlineStr">
        <is>
          <t>You are a professional fighter, trained and disciplined to march with your comrades into battle.</t>
        </is>
      </c>
      <c r="M206" t="inlineStr">
        <is>
          <t>Melee (Any One)</t>
        </is>
      </c>
      <c r="N206" t="inlineStr">
        <is>
          <t>Dwarf, Halfling, High Elf, Human, Wood Elf</t>
        </is>
      </c>
      <c r="O206" t="n">
        <v>96</v>
      </c>
      <c r="P206" t="n">
        <v>1</v>
      </c>
      <c r="Q206" t="n">
        <v>1</v>
      </c>
      <c r="R206" t="n">
        <v>1</v>
      </c>
      <c r="S206" t="n">
        <v>3</v>
      </c>
      <c r="T206" t="n">
        <v>4</v>
      </c>
      <c r="X206" t="n">
        <v>2</v>
      </c>
    </row>
    <row r="207">
      <c r="A207" t="inlineStr">
        <is>
          <t>Soldier|2</t>
        </is>
      </c>
      <c r="B207" t="inlineStr">
        <is>
          <t>Soldier</t>
        </is>
      </c>
      <c r="C207" t="n">
        <v>2</v>
      </c>
      <c r="D207" t="inlineStr">
        <is>
          <t>Warrior</t>
        </is>
      </c>
      <c r="E207" t="inlineStr">
        <is>
          <t>Soldier</t>
        </is>
      </c>
      <c r="F207" t="inlineStr">
        <is>
          <t>Silver 2</t>
        </is>
      </c>
      <c r="G207" t="inlineStr">
        <is>
          <t>Consume Alcohol, Entertain (Storytelling), Intimidate, Outdoor Survival, Perception, Play (Drum, Flute, Horn, or Trumpet)</t>
        </is>
      </c>
      <c r="H207" t="inlineStr">
        <is>
          <t>Dicer, Marksman, Rapid Reload, Shieldsman</t>
        </is>
      </c>
      <c r="I207" t="inlineStr">
        <is>
          <t>Breastplate, Helmet, Weapon (Any)</t>
        </is>
      </c>
      <c r="J207" t="inlineStr">
        <is>
          <t>|Athletics|Climb|Cool|Dodge|Endurance|Gamble|Language (Battle)|Melee (any)|Melee (Basic)|Ranged (any)|Consume Alcohol|Entertain (Storytelling)|Intimidate|Outdoor Survival|Perception|Play (Drum)|Play (Flute)|Play (Horn)|Play (Trumpet)|</t>
        </is>
      </c>
      <c r="K207" t="inlineStr">
        <is>
          <t>|Drilled|Etiquette (Soldiers)|Strong Back|Warrior Born|Dicer|Marksman|Rapid Reload|Shieldsman|</t>
        </is>
      </c>
      <c r="L207" t="inlineStr">
        <is>
          <t>You are a professional fighter, trained and disciplined to march with your comrades into battle.</t>
        </is>
      </c>
      <c r="M207" t="inlineStr">
        <is>
          <t>Melee (Any One)</t>
        </is>
      </c>
      <c r="N207" t="inlineStr">
        <is>
          <t>Dwarf, Halfling, High Elf, Human, Wood Elf</t>
        </is>
      </c>
      <c r="O207" t="n">
        <v>96</v>
      </c>
      <c r="P207" t="n">
        <v>1</v>
      </c>
      <c r="Q207" t="n">
        <v>1</v>
      </c>
      <c r="R207" t="n">
        <v>1</v>
      </c>
      <c r="S207" t="n">
        <v>3</v>
      </c>
      <c r="T207" t="n">
        <v>4</v>
      </c>
      <c r="X207" t="n">
        <v>2</v>
      </c>
    </row>
    <row r="208">
      <c r="A208" t="inlineStr">
        <is>
          <t>Soldier|3</t>
        </is>
      </c>
      <c r="B208" t="inlineStr">
        <is>
          <t>Soldier</t>
        </is>
      </c>
      <c r="C208" t="n">
        <v>3</v>
      </c>
      <c r="D208" t="inlineStr">
        <is>
          <t>Warrior</t>
        </is>
      </c>
      <c r="E208" t="inlineStr">
        <is>
          <t>Sergeant</t>
        </is>
      </c>
      <c r="F208" t="inlineStr">
        <is>
          <t>Silver 3</t>
        </is>
      </c>
      <c r="G208" t="inlineStr">
        <is>
          <t>Heal, Leadership, Lore (Warfare), Navigation</t>
        </is>
      </c>
      <c r="H208" t="inlineStr">
        <is>
          <t>Combat Aware, Enclosed Fighter, Unshakeable, War Leader</t>
        </is>
      </c>
      <c r="I208" t="inlineStr">
        <is>
          <t>Symbol of Rank, Regiment of Recruits</t>
        </is>
      </c>
      <c r="J208" t="inlineStr">
        <is>
          <t>|Athletics|Climb|Cool|Dodge|Endurance|Gamble|Language (Battle)|Melee (any)|Melee (Basic)|Ranged (any)|Consume Alcohol|Entertain (Storytelling)|Intimidate|Outdoor Survival|Perception|Play (Drum)|Play (Flute)|Play (Horn)|Play (Trumpet)|Heal|Leadership|Lore (Warfare)|Navigation|</t>
        </is>
      </c>
      <c r="K208" t="inlineStr">
        <is>
          <t>|Drilled|Etiquette (Soldiers)|Strong Back|Warrior Born|Dicer|Marksman|Rapid Reload|Shieldsman|Combat Aware|Enclosed Fighter|Unshakeable|War Leader|</t>
        </is>
      </c>
      <c r="L208" t="inlineStr">
        <is>
          <t>You are a professional fighter, trained and disciplined to march with your comrades into battle.</t>
        </is>
      </c>
      <c r="M208" t="inlineStr">
        <is>
          <t>Melee (Any One)</t>
        </is>
      </c>
      <c r="N208" t="inlineStr">
        <is>
          <t>Dwarf, Halfling, High Elf, Human, Wood Elf</t>
        </is>
      </c>
      <c r="O208" t="n">
        <v>96</v>
      </c>
      <c r="P208" t="n">
        <v>1</v>
      </c>
      <c r="Q208" t="n">
        <v>1</v>
      </c>
      <c r="R208" t="n">
        <v>1</v>
      </c>
      <c r="S208" t="n">
        <v>3</v>
      </c>
      <c r="T208" t="n">
        <v>4</v>
      </c>
      <c r="X208" t="n">
        <v>2</v>
      </c>
    </row>
    <row r="209">
      <c r="A209" t="inlineStr">
        <is>
          <t>Soldier|4</t>
        </is>
      </c>
      <c r="B209" t="inlineStr">
        <is>
          <t>Soldier</t>
        </is>
      </c>
      <c r="C209" t="n">
        <v>4</v>
      </c>
      <c r="D209" t="inlineStr">
        <is>
          <t>Warrior</t>
        </is>
      </c>
      <c r="E209" t="inlineStr">
        <is>
          <t>Officer</t>
        </is>
      </c>
      <c r="F209" t="inlineStr">
        <is>
          <t>Gold 1</t>
        </is>
      </c>
      <c r="G209" t="inlineStr">
        <is>
          <t>Lore (Heraldry), Ride (Horse)</t>
        </is>
      </c>
      <c r="H209" t="inlineStr">
        <is>
          <t>Inspiring, Public Speaker, Read/Write, Stout-hearted</t>
        </is>
      </c>
      <c r="I209" t="inlineStr">
        <is>
          <t>Letter of Commission, Light Warhorse, Map, Orders, Quality Uniform, Symbol of Rank, Regiment of Soldiers</t>
        </is>
      </c>
      <c r="J209" t="inlineStr">
        <is>
          <t>|Athletics|Climb|Cool|Dodge|Endurance|Gamble|Language (Battle)|Melee (any)|Melee (Basic)|Ranged (any)|Consume Alcohol|Entertain (Storytelling)|Intimidate|Outdoor Survival|Perception|Play (Drum)|Play (Flute)|Play (Horn)|Play (Trumpet)|Heal|Leadership|Lore (Warfare)|Navigation|Lore (Heraldry)|Ride (Horse)|</t>
        </is>
      </c>
      <c r="K209" t="inlineStr">
        <is>
          <t>|Drilled|Etiquette (Soldiers)|Strong Back|Warrior Born|Dicer|Marksman|Rapid Reload|Shieldsman|Combat Aware|Enclosed Fighter|Unshakeable|War Leader|Inspiring|Public Speaker|Read/Write|Stout-hearted|</t>
        </is>
      </c>
      <c r="L209" t="inlineStr">
        <is>
          <t>You are a professional fighter, trained and disciplined to march with your comrades into battle.</t>
        </is>
      </c>
      <c r="M209" t="inlineStr">
        <is>
          <t>Melee (Any One)</t>
        </is>
      </c>
      <c r="N209" t="inlineStr">
        <is>
          <t>Dwarf, Halfling, High Elf, Human, Wood Elf</t>
        </is>
      </c>
      <c r="O209" t="n">
        <v>96</v>
      </c>
      <c r="P209" t="n">
        <v>1</v>
      </c>
      <c r="Q209" t="n">
        <v>1</v>
      </c>
      <c r="R209" t="n">
        <v>1</v>
      </c>
      <c r="S209" t="n">
        <v>3</v>
      </c>
      <c r="T209" t="n">
        <v>4</v>
      </c>
      <c r="X209" t="n">
        <v>2</v>
      </c>
    </row>
    <row r="210">
      <c r="A210" t="inlineStr">
        <is>
          <t>Spy|1</t>
        </is>
      </c>
      <c r="B210" t="inlineStr">
        <is>
          <t>Spy</t>
        </is>
      </c>
      <c r="C210" t="n">
        <v>1</v>
      </c>
      <c r="D210" t="inlineStr">
        <is>
          <t>Courtier</t>
        </is>
      </c>
      <c r="E210" t="inlineStr">
        <is>
          <t>Informer</t>
        </is>
      </c>
      <c r="F210" t="inlineStr">
        <is>
          <t>Brass 4</t>
        </is>
      </c>
      <c r="G210" t="inlineStr">
        <is>
          <t>Bribery, Charm, Consume Alcohol, Cool, Gamble, Gossip, Intuition, Melee (Basic), Perception, Stealth (Any One)</t>
        </is>
      </c>
      <c r="H210" t="inlineStr">
        <is>
          <t>Beneath Notice, Etiquette (Any One), Gregarious, Read/Write</t>
        </is>
      </c>
      <c r="I210" t="inlineStr">
        <is>
          <t>Charcoal Stick, Sling Bag containing 2 different sets of Clothing and Hooded Cloak</t>
        </is>
      </c>
      <c r="J210" t="inlineStr">
        <is>
          <t>|Bribery|Charm|Consume Alcohol|Cool|Gamble|Gossip|Intuition|Melee (Basic)|Perception|Stealth (any)|</t>
        </is>
      </c>
      <c r="K210" t="inlineStr">
        <is>
          <t>|Beneath Notice|Etiquette (any)|Gregarious|Read/Write|</t>
        </is>
      </c>
      <c r="L210" t="inlineStr">
        <is>
          <t>You live in the murky world of espionage, uncovering secrets and manipulating others through deception.</t>
        </is>
      </c>
      <c r="M210" t="inlineStr">
        <is>
          <t>Gossip</t>
        </is>
      </c>
      <c r="N210" t="inlineStr">
        <is>
          <t>Dwarf, Halfling, High Elf, Human, Wood Elf</t>
        </is>
      </c>
      <c r="O210" t="n">
        <v>97</v>
      </c>
      <c r="T210" t="n">
        <v>1</v>
      </c>
      <c r="U210" t="n">
        <v>1</v>
      </c>
      <c r="V210" t="n">
        <v>2</v>
      </c>
      <c r="W210" t="n">
        <v>4</v>
      </c>
      <c r="X210" t="n">
        <v>3</v>
      </c>
      <c r="Y210" t="n">
        <v>1</v>
      </c>
    </row>
    <row r="211">
      <c r="A211" t="inlineStr">
        <is>
          <t>Spy|2</t>
        </is>
      </c>
      <c r="B211" t="inlineStr">
        <is>
          <t>Spy</t>
        </is>
      </c>
      <c r="C211" t="n">
        <v>2</v>
      </c>
      <c r="D211" t="inlineStr">
        <is>
          <t>Courtier</t>
        </is>
      </c>
      <c r="E211" t="inlineStr">
        <is>
          <t>Spy</t>
        </is>
      </c>
      <c r="F211" t="inlineStr">
        <is>
          <t>Silver 3</t>
        </is>
      </c>
      <c r="G211" t="inlineStr">
        <is>
          <t>Climb, Entertain (Acting), Language (Any One), Pick Lock, Secret Signs (Any One), Sleight of Hand</t>
        </is>
      </c>
      <c r="H211" t="inlineStr">
        <is>
          <t>Attractive, Mimic, Secret Identity, Shadow</t>
        </is>
      </c>
      <c r="I211" t="inlineStr">
        <is>
          <t>Disguise Kit, Informer, Telescope</t>
        </is>
      </c>
      <c r="J211" t="inlineStr">
        <is>
          <t>|Bribery|Charm|Consume Alcohol|Cool|Gamble|Gossip|Intuition|Melee (Basic)|Perception|Stealth (any)|Climb|Entertain (Acting)|Language (any)|Pick Lock|Secret Signs (any)|Sleight of Hand|</t>
        </is>
      </c>
      <c r="K211" t="inlineStr">
        <is>
          <t>|Beneath Notice|Etiquette (any)|Gregarious|Read/Write|Attractive|Mimic|Secret Identity|Shadow|</t>
        </is>
      </c>
      <c r="L211" t="inlineStr">
        <is>
          <t>You live in the murky world of espionage, uncovering secrets and manipulating others through deception.</t>
        </is>
      </c>
      <c r="M211" t="inlineStr">
        <is>
          <t>Gossip</t>
        </is>
      </c>
      <c r="N211" t="inlineStr">
        <is>
          <t>Dwarf, Halfling, High Elf, Human, Wood Elf</t>
        </is>
      </c>
      <c r="O211" t="n">
        <v>97</v>
      </c>
      <c r="T211" t="n">
        <v>1</v>
      </c>
      <c r="U211" t="n">
        <v>1</v>
      </c>
      <c r="V211" t="n">
        <v>2</v>
      </c>
      <c r="W211" t="n">
        <v>4</v>
      </c>
      <c r="X211" t="n">
        <v>3</v>
      </c>
      <c r="Y211" t="n">
        <v>1</v>
      </c>
    </row>
    <row r="212">
      <c r="A212" t="inlineStr">
        <is>
          <t>Spy|3</t>
        </is>
      </c>
      <c r="B212" t="inlineStr">
        <is>
          <t>Spy</t>
        </is>
      </c>
      <c r="C212" t="n">
        <v>3</v>
      </c>
      <c r="D212" t="inlineStr">
        <is>
          <t>Courtier</t>
        </is>
      </c>
      <c r="E212" t="inlineStr">
        <is>
          <t>Agent</t>
        </is>
      </c>
      <c r="F212" t="inlineStr">
        <is>
          <t>Gold 1</t>
        </is>
      </c>
      <c r="G212" t="inlineStr">
        <is>
          <t>Animal Care, Animal Training (Pigeon), Leadership, Research</t>
        </is>
      </c>
      <c r="H212" t="inlineStr">
        <is>
          <t>Carouser, Cat-tongued, Lip Reading, Master of Disguise</t>
        </is>
      </c>
      <c r="I212" t="inlineStr">
        <is>
          <t>Book (Cryptography), Loft of Homing Pigeons, Ring of Spies and Informers, Writing Kit</t>
        </is>
      </c>
      <c r="J212" t="inlineStr">
        <is>
          <t>|Bribery|Charm|Consume Alcohol|Cool|Gamble|Gossip|Intuition|Melee (Basic)|Perception|Stealth (any)|Climb|Entertain (Acting)|Language (any)|Pick Lock|Secret Signs (any)|Sleight of Hand|Animal Care|Animal Training (Pigeon)|Leadership|Research|</t>
        </is>
      </c>
      <c r="K212" t="inlineStr">
        <is>
          <t>|Beneath Notice|Etiquette (any)|Gregarious|Read/Write|Attractive|Mimic|Secret Identity|Shadow|Carouser|Cat-tongued|Lip Reading|Master of Disguise|</t>
        </is>
      </c>
      <c r="L212" t="inlineStr">
        <is>
          <t>You live in the murky world of espionage, uncovering secrets and manipulating others through deception.</t>
        </is>
      </c>
      <c r="M212" t="inlineStr">
        <is>
          <t>Gossip</t>
        </is>
      </c>
      <c r="N212" t="inlineStr">
        <is>
          <t>Dwarf, Halfling, High Elf, Human, Wood Elf</t>
        </is>
      </c>
      <c r="O212" t="n">
        <v>97</v>
      </c>
      <c r="T212" t="n">
        <v>1</v>
      </c>
      <c r="U212" t="n">
        <v>1</v>
      </c>
      <c r="V212" t="n">
        <v>2</v>
      </c>
      <c r="W212" t="n">
        <v>4</v>
      </c>
      <c r="X212" t="n">
        <v>3</v>
      </c>
      <c r="Y212" t="n">
        <v>1</v>
      </c>
    </row>
    <row r="213">
      <c r="A213" t="inlineStr">
        <is>
          <t>Spy|4</t>
        </is>
      </c>
      <c r="B213" t="inlineStr">
        <is>
          <t>Spy</t>
        </is>
      </c>
      <c r="C213" t="n">
        <v>4</v>
      </c>
      <c r="D213" t="inlineStr">
        <is>
          <t>Courtier</t>
        </is>
      </c>
      <c r="E213" t="inlineStr">
        <is>
          <t>Spymaster</t>
        </is>
      </c>
      <c r="F213" t="inlineStr">
        <is>
          <t>Gold 3</t>
        </is>
      </c>
      <c r="G213" t="inlineStr">
        <is>
          <t>Haggle, Lore (Any One)</t>
        </is>
      </c>
      <c r="H213" t="inlineStr">
        <is>
          <t>Briber, Schemer, Suave, Tower of Memories</t>
        </is>
      </c>
      <c r="I213" t="inlineStr">
        <is>
          <t>Office and Staff</t>
        </is>
      </c>
      <c r="J213" t="inlineStr">
        <is>
          <t>|Bribery|Charm|Consume Alcohol|Cool|Gamble|Gossip|Intuition|Melee (Basic)|Perception|Stealth (any)|Climb|Entertain (Acting)|Language (any)|Pick Lock|Secret Signs (any)|Sleight of Hand|Animal Care|Animal Training (Pigeon)|Leadership|Research|Haggle|Lore (any)|</t>
        </is>
      </c>
      <c r="K213" t="inlineStr">
        <is>
          <t>|Beneath Notice|Etiquette (any)|Gregarious|Read/Write|Attractive|Mimic|Secret Identity|Shadow|Carouser|Cat-tongued|Lip Reading|Master of Disguise|Briber|Schemer|Suave|Tower of Memories|</t>
        </is>
      </c>
      <c r="L213" t="inlineStr">
        <is>
          <t>You live in the murky world of espionage, uncovering secrets and manipulating others through deception.</t>
        </is>
      </c>
      <c r="M213" t="inlineStr">
        <is>
          <t>Gossip</t>
        </is>
      </c>
      <c r="N213" t="inlineStr">
        <is>
          <t>Dwarf, Halfling, High Elf, Human, Wood Elf</t>
        </is>
      </c>
      <c r="O213" t="n">
        <v>97</v>
      </c>
      <c r="T213" t="n">
        <v>1</v>
      </c>
      <c r="U213" t="n">
        <v>1</v>
      </c>
      <c r="V213" t="n">
        <v>2</v>
      </c>
      <c r="W213" t="n">
        <v>4</v>
      </c>
      <c r="X213" t="n">
        <v>3</v>
      </c>
      <c r="Y213" t="n">
        <v>1</v>
      </c>
    </row>
    <row r="214">
      <c r="A214" t="inlineStr">
        <is>
          <t>Stevedore|1</t>
        </is>
      </c>
      <c r="B214" t="inlineStr">
        <is>
          <t>Stevedore</t>
        </is>
      </c>
      <c r="C214" t="n">
        <v>1</v>
      </c>
      <c r="D214" t="inlineStr">
        <is>
          <t>Riverfolk</t>
        </is>
      </c>
      <c r="E214" t="inlineStr">
        <is>
          <t>Dockhand</t>
        </is>
      </c>
      <c r="F214" t="inlineStr">
        <is>
          <t>Brass 3</t>
        </is>
      </c>
      <c r="G214" t="inlineStr">
        <is>
          <t>Athletics, Climb, Consume Alcohol, Dodge, Endurance, Gossip, Intimidate, Melee (Basic), Melee (Brawling), Swim</t>
        </is>
      </c>
      <c r="H214" t="inlineStr">
        <is>
          <t>Dirty Fighting, Strong Back, Sturdy, Tenacious</t>
        </is>
      </c>
      <c r="I214" t="inlineStr">
        <is>
          <t>Hand Weapon (Boat Hook), Leather Gloves</t>
        </is>
      </c>
      <c r="J214" t="inlineStr">
        <is>
          <t>|Athletics|Climb|Consume Alcohol|Dodge|Endurance|Gossip|Intimidate|Melee (Basic)|Melee (Brawling)|Swim|</t>
        </is>
      </c>
      <c r="K214" t="inlineStr">
        <is>
          <t>|Dirty Fighting|Strong Back|Sturdy|Tenacious|</t>
        </is>
      </c>
      <c r="L214" t="inlineStr">
        <is>
          <t>You officially shift cargo for coin, but unofficially, everyone knows the Stevedores rule the dockside.</t>
        </is>
      </c>
      <c r="M214" t="inlineStr">
        <is>
          <t>Endurance</t>
        </is>
      </c>
      <c r="N214" t="inlineStr">
        <is>
          <t>Dwarf, Halfling, Human</t>
        </is>
      </c>
      <c r="O214" t="n">
        <v>98</v>
      </c>
      <c r="P214" t="n">
        <v>2</v>
      </c>
      <c r="R214" t="n">
        <v>1</v>
      </c>
      <c r="S214" t="n">
        <v>1</v>
      </c>
      <c r="U214" t="n">
        <v>1</v>
      </c>
      <c r="X214" t="n">
        <v>4</v>
      </c>
      <c r="Y214" t="n">
        <v>3</v>
      </c>
    </row>
    <row r="215">
      <c r="A215" t="inlineStr">
        <is>
          <t>Stevedore|2</t>
        </is>
      </c>
      <c r="B215" t="inlineStr">
        <is>
          <t>Stevedore</t>
        </is>
      </c>
      <c r="C215" t="n">
        <v>2</v>
      </c>
      <c r="D215" t="inlineStr">
        <is>
          <t>Riverfolk</t>
        </is>
      </c>
      <c r="E215" t="inlineStr">
        <is>
          <t>Stevedore</t>
        </is>
      </c>
      <c r="F215" t="inlineStr">
        <is>
          <t>Brass 5</t>
        </is>
      </c>
      <c r="G215" t="inlineStr">
        <is>
          <t>Bribery, Cool, Gamble, Haggle, Lore (Local), Secret Signs (Guilder)</t>
        </is>
      </c>
      <c r="H215" t="inlineStr">
        <is>
          <t>Criminal, Etiquette (Criminals), Etiquette (Guilders), Very Strong</t>
        </is>
      </c>
      <c r="I215" t="inlineStr">
        <is>
          <t>Guild Licence, Leather Jerkin, Pipe and Tobacco, Porter Cap</t>
        </is>
      </c>
      <c r="J215" t="inlineStr">
        <is>
          <t>|Athletics|Climb|Consume Alcohol|Dodge|Endurance|Gossip|Intimidate|Melee (Basic)|Melee (Brawling)|Swim|Bribery|Cool|Gamble|Haggle|Lore (Local)|Secret Signs (Guilder)|</t>
        </is>
      </c>
      <c r="K215" t="inlineStr">
        <is>
          <t>|Dirty Fighting|Strong Back|Sturdy|Tenacious|Criminal|Etiquette (Criminals)|Etiquette (Guilders)|Very Strong|</t>
        </is>
      </c>
      <c r="L215" t="inlineStr">
        <is>
          <t>You officially shift cargo for coin, but unofficially, everyone knows the Stevedores rule the dockside.</t>
        </is>
      </c>
      <c r="M215" t="inlineStr">
        <is>
          <t>Endurance</t>
        </is>
      </c>
      <c r="N215" t="inlineStr">
        <is>
          <t>Dwarf, Halfling, Human</t>
        </is>
      </c>
      <c r="O215" t="n">
        <v>98</v>
      </c>
      <c r="P215" t="n">
        <v>2</v>
      </c>
      <c r="R215" t="n">
        <v>1</v>
      </c>
      <c r="S215" t="n">
        <v>1</v>
      </c>
      <c r="U215" t="n">
        <v>1</v>
      </c>
      <c r="X215" t="n">
        <v>4</v>
      </c>
      <c r="Y215" t="n">
        <v>3</v>
      </c>
    </row>
    <row r="216">
      <c r="A216" t="inlineStr">
        <is>
          <t>Stevedore|3</t>
        </is>
      </c>
      <c r="B216" t="inlineStr">
        <is>
          <t>Stevedore</t>
        </is>
      </c>
      <c r="C216" t="n">
        <v>3</v>
      </c>
      <c r="D216" t="inlineStr">
        <is>
          <t>Riverfolk</t>
        </is>
      </c>
      <c r="E216" t="inlineStr">
        <is>
          <t>Foreman</t>
        </is>
      </c>
      <c r="F216" t="inlineStr">
        <is>
          <t>Silver 3</t>
        </is>
      </c>
      <c r="G216" t="inlineStr">
        <is>
          <t>Charm, Evaluate, Intuition, Leadership</t>
        </is>
      </c>
      <c r="H216" t="inlineStr">
        <is>
          <t>Dealmaker, Embezzle, Menacing, Public Speaker</t>
        </is>
      </c>
      <c r="I216" t="inlineStr">
        <is>
          <t>Gang of Stevedores, Whistle</t>
        </is>
      </c>
      <c r="J216" t="inlineStr">
        <is>
          <t>|Athletics|Climb|Consume Alcohol|Dodge|Endurance|Gossip|Intimidate|Melee (Basic)|Melee (Brawling)|Swim|Bribery|Cool|Gamble|Haggle|Lore (Local)|Secret Signs (Guilder)|Charm|Evaluate|Intuition|Leadership|</t>
        </is>
      </c>
      <c r="K216" t="inlineStr">
        <is>
          <t>|Dirty Fighting|Strong Back|Sturdy|Tenacious|Criminal|Etiquette (Criminals)|Etiquette (Guilders)|Very Strong|Dealmaker|Embezzle|Menacing|Public Speaker|</t>
        </is>
      </c>
      <c r="L216" t="inlineStr">
        <is>
          <t>You officially shift cargo for coin, but unofficially, everyone knows the Stevedores rule the dockside.</t>
        </is>
      </c>
      <c r="M216" t="inlineStr">
        <is>
          <t>Endurance</t>
        </is>
      </c>
      <c r="N216" t="inlineStr">
        <is>
          <t>Dwarf, Halfling, Human</t>
        </is>
      </c>
      <c r="O216" t="n">
        <v>98</v>
      </c>
      <c r="P216" t="n">
        <v>2</v>
      </c>
      <c r="R216" t="n">
        <v>1</v>
      </c>
      <c r="S216" t="n">
        <v>1</v>
      </c>
      <c r="U216" t="n">
        <v>1</v>
      </c>
      <c r="X216" t="n">
        <v>4</v>
      </c>
      <c r="Y216" t="n">
        <v>3</v>
      </c>
    </row>
    <row r="217">
      <c r="A217" t="inlineStr">
        <is>
          <t>Stevedore|4</t>
        </is>
      </c>
      <c r="B217" t="inlineStr">
        <is>
          <t>Stevedore</t>
        </is>
      </c>
      <c r="C217" t="n">
        <v>4</v>
      </c>
      <c r="D217" t="inlineStr">
        <is>
          <t>Riverfolk</t>
        </is>
      </c>
      <c r="E217" t="inlineStr">
        <is>
          <t>Dock Master</t>
        </is>
      </c>
      <c r="F217" t="inlineStr">
        <is>
          <t>Silver 5</t>
        </is>
      </c>
      <c r="G217" t="inlineStr">
        <is>
          <t>Intuition, Lore (Taxes)</t>
        </is>
      </c>
      <c r="H217" t="inlineStr">
        <is>
          <t>Fearless (Merchants), Kingpin, Numismatics, Read/Write</t>
        </is>
      </c>
      <c r="I217" t="inlineStr">
        <is>
          <t>Office and Staff, Writing Kit</t>
        </is>
      </c>
      <c r="J217" t="inlineStr">
        <is>
          <t>|Athletics|Climb|Consume Alcohol|Dodge|Endurance|Gossip|Intimidate|Melee (Basic)|Melee (Brawling)|Swim|Bribery|Cool|Gamble|Haggle|Lore (Local)|Secret Signs (Guilder)|Charm|Evaluate|Intuition|Leadership|Lore (Taxes)|</t>
        </is>
      </c>
      <c r="K217" t="inlineStr">
        <is>
          <t>|Dirty Fighting|Strong Back|Sturdy|Tenacious|Criminal|Etiquette (Criminals)|Etiquette (Guilders)|Very Strong|Dealmaker|Embezzle|Menacing|Public Speaker|Fearless (Merchants)|Kingpin|Numismatics|Read/Write|</t>
        </is>
      </c>
      <c r="L217" t="inlineStr">
        <is>
          <t>You officially shift cargo for coin, but unofficially, everyone knows the Stevedores rule the dockside.</t>
        </is>
      </c>
      <c r="M217" t="inlineStr">
        <is>
          <t>Endurance</t>
        </is>
      </c>
      <c r="N217" t="inlineStr">
        <is>
          <t>Dwarf, Halfling, Human</t>
        </is>
      </c>
      <c r="O217" t="n">
        <v>98</v>
      </c>
      <c r="P217" t="n">
        <v>2</v>
      </c>
      <c r="R217" t="n">
        <v>1</v>
      </c>
      <c r="S217" t="n">
        <v>1</v>
      </c>
      <c r="U217" t="n">
        <v>1</v>
      </c>
      <c r="X217" t="n">
        <v>4</v>
      </c>
      <c r="Y217" t="n">
        <v>3</v>
      </c>
    </row>
    <row r="218">
      <c r="A218" t="inlineStr">
        <is>
          <t>Thief|1</t>
        </is>
      </c>
      <c r="B218" t="inlineStr">
        <is>
          <t>Thief</t>
        </is>
      </c>
      <c r="C218" t="n">
        <v>1</v>
      </c>
      <c r="D218" t="inlineStr">
        <is>
          <t>Rogue</t>
        </is>
      </c>
      <c r="E218" t="inlineStr">
        <is>
          <t>Prowler</t>
        </is>
      </c>
      <c r="F218" t="inlineStr">
        <is>
          <t>Brass 3</t>
        </is>
      </c>
      <c r="G218" t="inlineStr">
        <is>
          <t>Athletics, Climb, Cool, Dodge, Intimidate, Melee (Basic), Perception, Pick Lock, Sleight of Hand, Stealth (Urban)</t>
        </is>
      </c>
      <c r="H218" t="inlineStr">
        <is>
          <t>Alley Cat, Criminal, Fast Hands, Flee!</t>
        </is>
      </c>
      <c r="I218" t="inlineStr">
        <is>
          <t>Crowbar, Leather Jerkin, Sack</t>
        </is>
      </c>
      <c r="J218" t="inlineStr">
        <is>
          <t>|Athletics|Climb|Cool|Dodge|Intimidate|Melee (Basic)|Perception|Pick Lock|Sleight of Hand|Stealth (Urban)|</t>
        </is>
      </c>
      <c r="K218" t="inlineStr">
        <is>
          <t>|Alley Cat|Criminal|Fast Hands|Flee!|</t>
        </is>
      </c>
      <c r="L218" t="inlineStr">
        <is>
          <t>You steal from others in order to make some coin, and you are rather good at it.</t>
        </is>
      </c>
      <c r="M218" t="inlineStr">
        <is>
          <t>Stealth (Urban)</t>
        </is>
      </c>
      <c r="N218" t="inlineStr">
        <is>
          <t>Dwarf, Halfling, Human, Wood Elf</t>
        </is>
      </c>
      <c r="O218" t="n">
        <v>99</v>
      </c>
      <c r="R218" t="n">
        <v>1</v>
      </c>
      <c r="T218" t="n">
        <v>2</v>
      </c>
      <c r="U218" t="n">
        <v>1</v>
      </c>
      <c r="V218" t="n">
        <v>1</v>
      </c>
      <c r="W218" t="n">
        <v>3</v>
      </c>
      <c r="Y218" t="n">
        <v>4</v>
      </c>
    </row>
    <row r="219">
      <c r="A219" t="inlineStr">
        <is>
          <t>Thief|2</t>
        </is>
      </c>
      <c r="B219" t="inlineStr">
        <is>
          <t>Thief</t>
        </is>
      </c>
      <c r="C219" t="n">
        <v>2</v>
      </c>
      <c r="D219" t="inlineStr">
        <is>
          <t>Rogue</t>
        </is>
      </c>
      <c r="E219" t="inlineStr">
        <is>
          <t>Thief</t>
        </is>
      </c>
      <c r="F219" t="inlineStr">
        <is>
          <t>Brass 4</t>
        </is>
      </c>
      <c r="G219" t="inlineStr">
        <is>
          <t>Evaluate, Gossip, Language (Thieves Tongue), Lore (Local), Secret Signs (Thief), Set Trap</t>
        </is>
      </c>
      <c r="H219" t="inlineStr">
        <is>
          <t>Break and Enter, Etiquette (Criminals), Night Vision, Shadow</t>
        </is>
      </c>
      <c r="I219" t="inlineStr">
        <is>
          <t>Fence Contact, Rope, Trade Tools (Thief)</t>
        </is>
      </c>
      <c r="J219" t="inlineStr">
        <is>
          <t>|Athletics|Climb|Cool|Dodge|Intimidate|Melee (Basic)|Perception|Pick Lock|Sleight of Hand|Stealth (Urban)|Evaluate|Gossip|Language (Thieves Tongue)|Lore (Local)|Secret Signs (Thief)|Set Trap|</t>
        </is>
      </c>
      <c r="K219" t="inlineStr">
        <is>
          <t>|Alley Cat|Criminal|Fast Hands|Flee!|Break and Enter|Etiquette (Criminals)|Night Vision|Shadow|</t>
        </is>
      </c>
      <c r="L219" t="inlineStr">
        <is>
          <t>You steal from others in order to make some coin, and you are rather good at it.</t>
        </is>
      </c>
      <c r="M219" t="inlineStr">
        <is>
          <t>Stealth (Urban)</t>
        </is>
      </c>
      <c r="N219" t="inlineStr">
        <is>
          <t>Dwarf, Halfling, Human, Wood Elf</t>
        </is>
      </c>
      <c r="O219" t="n">
        <v>99</v>
      </c>
      <c r="R219" t="n">
        <v>1</v>
      </c>
      <c r="T219" t="n">
        <v>2</v>
      </c>
      <c r="U219" t="n">
        <v>1</v>
      </c>
      <c r="V219" t="n">
        <v>1</v>
      </c>
      <c r="W219" t="n">
        <v>3</v>
      </c>
      <c r="Y219" t="n">
        <v>4</v>
      </c>
    </row>
    <row r="220">
      <c r="A220" t="inlineStr">
        <is>
          <t>Thief|3</t>
        </is>
      </c>
      <c r="B220" t="inlineStr">
        <is>
          <t>Thief</t>
        </is>
      </c>
      <c r="C220" t="n">
        <v>3</v>
      </c>
      <c r="D220" t="inlineStr">
        <is>
          <t>Rogue</t>
        </is>
      </c>
      <c r="E220" t="inlineStr">
        <is>
          <t>Master Thief</t>
        </is>
      </c>
      <c r="F220" t="inlineStr">
        <is>
          <t>Brass 5</t>
        </is>
      </c>
      <c r="G220" t="inlineStr">
        <is>
          <t>Bribery, Entertain (Acting), Intuition, Ranged (Crossbow)</t>
        </is>
      </c>
      <c r="H220" t="inlineStr">
        <is>
          <t>Lip Reading, Secret Identity, Step Aside, Trapper</t>
        </is>
      </c>
      <c r="I220" t="inlineStr">
        <is>
          <t>Crossbow Pistol with 10 Bolts, Grappling Hook, Several Fence Contacts</t>
        </is>
      </c>
      <c r="J220" t="inlineStr">
        <is>
          <t>|Athletics|Climb|Cool|Dodge|Intimidate|Melee (Basic)|Perception|Pick Lock|Sleight of Hand|Stealth (Urban)|Evaluate|Gossip|Language (Thieves Tongue)|Lore (Local)|Secret Signs (Thief)|Set Trap|Bribery|Entertain (Acting)|Intuition|Ranged (Crossbow)|</t>
        </is>
      </c>
      <c r="K220" t="inlineStr">
        <is>
          <t>|Alley Cat|Criminal|Fast Hands|Flee!|Break and Enter|Etiquette (Criminals)|Night Vision|Shadow|Lip Reading|Secret Identity|Step Aside|Trapper|</t>
        </is>
      </c>
      <c r="L220" t="inlineStr">
        <is>
          <t>You steal from others in order to make some coin, and you are rather good at it.</t>
        </is>
      </c>
      <c r="M220" t="inlineStr">
        <is>
          <t>Stealth (Urban)</t>
        </is>
      </c>
      <c r="N220" t="inlineStr">
        <is>
          <t>Dwarf, Halfling, Human, Wood Elf</t>
        </is>
      </c>
      <c r="O220" t="n">
        <v>99</v>
      </c>
      <c r="R220" t="n">
        <v>1</v>
      </c>
      <c r="T220" t="n">
        <v>2</v>
      </c>
      <c r="U220" t="n">
        <v>1</v>
      </c>
      <c r="V220" t="n">
        <v>1</v>
      </c>
      <c r="W220" t="n">
        <v>3</v>
      </c>
      <c r="Y220" t="n">
        <v>4</v>
      </c>
    </row>
    <row r="221">
      <c r="A221" t="inlineStr">
        <is>
          <t>Thief|4</t>
        </is>
      </c>
      <c r="B221" t="inlineStr">
        <is>
          <t>Thief</t>
        </is>
      </c>
      <c r="C221" t="n">
        <v>4</v>
      </c>
      <c r="D221" t="inlineStr">
        <is>
          <t>Rogue</t>
        </is>
      </c>
      <c r="E221" t="inlineStr">
        <is>
          <t>Cat Burglar</t>
        </is>
      </c>
      <c r="F221" t="inlineStr">
        <is>
          <t>Silver 3</t>
        </is>
      </c>
      <c r="G221" t="inlineStr">
        <is>
          <t>Endurance, Gamble</t>
        </is>
      </c>
      <c r="H221" t="inlineStr">
        <is>
          <t>Catfall, Dual Wielder, Scale Sheer Surface, Strong Legs</t>
        </is>
      </c>
      <c r="I221" t="inlineStr">
        <is>
          <t>Calling Card, Dark Clothing</t>
        </is>
      </c>
      <c r="J221" t="inlineStr">
        <is>
          <t>|Athletics|Climb|Cool|Dodge|Intimidate|Melee (Basic)|Perception|Pick Lock|Sleight of Hand|Stealth (Urban)|Evaluate|Gossip|Language (Thieves Tongue)|Lore (Local)|Secret Signs (Thief)|Set Trap|Bribery|Entertain (Acting)|Intuition|Ranged (Crossbow)|Endurance|Gamble|</t>
        </is>
      </c>
      <c r="K221" t="inlineStr">
        <is>
          <t>|Alley Cat|Criminal|Fast Hands|Flee!|Break and Enter|Etiquette (Criminals)|Night Vision|Shadow|Lip Reading|Secret Identity|Step Aside|Trapper|Catfall|Dual Wielder|Scale Sheer Surface|Strong Legs|</t>
        </is>
      </c>
      <c r="L221" t="inlineStr">
        <is>
          <t>You steal from others in order to make some coin, and you are rather good at it.</t>
        </is>
      </c>
      <c r="M221" t="inlineStr">
        <is>
          <t>Stealth (Urban)</t>
        </is>
      </c>
      <c r="N221" t="inlineStr">
        <is>
          <t>Dwarf, Halfling, Human, Wood Elf</t>
        </is>
      </c>
      <c r="O221" t="n">
        <v>99</v>
      </c>
      <c r="R221" t="n">
        <v>1</v>
      </c>
      <c r="T221" t="n">
        <v>2</v>
      </c>
      <c r="U221" t="n">
        <v>1</v>
      </c>
      <c r="V221" t="n">
        <v>1</v>
      </c>
      <c r="W221" t="n">
        <v>3</v>
      </c>
      <c r="Y221" t="n">
        <v>4</v>
      </c>
    </row>
    <row r="222">
      <c r="A222" t="inlineStr">
        <is>
          <t>Townsman|1</t>
        </is>
      </c>
      <c r="B222" t="inlineStr">
        <is>
          <t>Townsman</t>
        </is>
      </c>
      <c r="C222" t="n">
        <v>1</v>
      </c>
      <c r="D222" t="inlineStr">
        <is>
          <t>Burgher</t>
        </is>
      </c>
      <c r="E222" t="inlineStr">
        <is>
          <t>Clerk</t>
        </is>
      </c>
      <c r="F222" t="inlineStr">
        <is>
          <t>Brass 5</t>
        </is>
      </c>
      <c r="G222" t="inlineStr">
        <is>
          <t>Charm, Consume Alcohol, Evaluate, Gamble, Gossip, Haggle, Intuition, Lore (Local), Research, Secret Signs (Guilder)</t>
        </is>
      </c>
      <c r="H222" t="inlineStr">
        <is>
          <t>Dealmaker, Embezzle, Read/Write, Speedreader</t>
        </is>
      </c>
      <c r="I222" t="inlineStr">
        <is>
          <t>Lodgings</t>
        </is>
      </c>
      <c r="J222" t="inlineStr">
        <is>
          <t>|Charm|Consume Alcohol|Evaluate|Gamble|Gossip|Haggle|Intuition|Lore (Local)|Research|Secret Signs (Guilder)|</t>
        </is>
      </c>
      <c r="K222" t="inlineStr">
        <is>
          <t>|Dealmaker|Embezzle|Read/Write|Speedreader|</t>
        </is>
      </c>
      <c r="L222" t="inlineStr">
        <is>
          <t>Ambitious and socially mobile, you are the hardworking glue that holds urban society together.</t>
        </is>
      </c>
      <c r="M222" t="inlineStr">
        <is>
          <t>Haggle</t>
        </is>
      </c>
      <c r="N222" t="inlineStr">
        <is>
          <t>Dwarf, Halfling, High Elf, Human</t>
        </is>
      </c>
      <c r="O222" t="n">
        <v>100</v>
      </c>
      <c r="R222" t="n">
        <v>1</v>
      </c>
      <c r="T222" t="n">
        <v>2</v>
      </c>
      <c r="V222" t="n">
        <v>4</v>
      </c>
      <c r="W222" t="n">
        <v>1</v>
      </c>
      <c r="X222" t="n">
        <v>3</v>
      </c>
      <c r="Y222" t="n">
        <v>1</v>
      </c>
    </row>
    <row r="223">
      <c r="A223" t="inlineStr">
        <is>
          <t>Townsman|2</t>
        </is>
      </c>
      <c r="B223" t="inlineStr">
        <is>
          <t>Townsman</t>
        </is>
      </c>
      <c r="C223" t="n">
        <v>2</v>
      </c>
      <c r="D223" t="inlineStr">
        <is>
          <t>Burgher</t>
        </is>
      </c>
      <c r="E223" t="inlineStr">
        <is>
          <t>Townsman</t>
        </is>
      </c>
      <c r="F223" t="inlineStr">
        <is>
          <t>Silver 1</t>
        </is>
      </c>
      <c r="G223" t="inlineStr">
        <is>
          <t>Bribery, Cool, Entertain (Any One), Language (Any One), Melee (Brawling), Trade (Any One)</t>
        </is>
      </c>
      <c r="H223" t="inlineStr">
        <is>
          <t>Blather, Etiquette (Any One), Gregarious, Savvy</t>
        </is>
      </c>
      <c r="I223" t="inlineStr">
        <is>
          <t>Modest Shop</t>
        </is>
      </c>
      <c r="J223" t="inlineStr">
        <is>
          <t>|Charm|Consume Alcohol|Evaluate|Gamble|Gossip|Haggle|Intuition|Lore (Local)|Research|Secret Signs (Guilder)|Bribery|Cool|Entertain (any)|Language (any)|Melee (Brawling)|Trade (any)|</t>
        </is>
      </c>
      <c r="K223" t="inlineStr">
        <is>
          <t>|Dealmaker|Embezzle|Read/Write|Speedreader|Blather|Etiquette (any)|Gregarious|Savvy|</t>
        </is>
      </c>
      <c r="L223" t="inlineStr">
        <is>
          <t>Ambitious and socially mobile, you are the hardworking glue that holds urban society together.</t>
        </is>
      </c>
      <c r="M223" t="inlineStr">
        <is>
          <t>Haggle</t>
        </is>
      </c>
      <c r="N223" t="inlineStr">
        <is>
          <t>Dwarf, Halfling, High Elf, Human</t>
        </is>
      </c>
      <c r="O223" t="n">
        <v>100</v>
      </c>
      <c r="R223" t="n">
        <v>1</v>
      </c>
      <c r="T223" t="n">
        <v>2</v>
      </c>
      <c r="V223" t="n">
        <v>4</v>
      </c>
      <c r="W223" t="n">
        <v>1</v>
      </c>
      <c r="X223" t="n">
        <v>3</v>
      </c>
      <c r="Y223" t="n">
        <v>1</v>
      </c>
    </row>
    <row r="224">
      <c r="A224" t="inlineStr">
        <is>
          <t>Townsman|3</t>
        </is>
      </c>
      <c r="B224" t="inlineStr">
        <is>
          <t>Townsman</t>
        </is>
      </c>
      <c r="C224" t="n">
        <v>3</v>
      </c>
      <c r="D224" t="inlineStr">
        <is>
          <t>Burgher</t>
        </is>
      </c>
      <c r="E224" t="inlineStr">
        <is>
          <t>Proprietor</t>
        </is>
      </c>
      <c r="F224" t="inlineStr">
        <is>
          <t>Silver 3</t>
        </is>
      </c>
      <c r="G224" t="inlineStr">
        <is>
          <t>Intimidate, Leadership, Perception, Ranged (Blackpowder)</t>
        </is>
      </c>
      <c r="H224" t="inlineStr">
        <is>
          <t>Etiquette (Any One), Lip Reading, Nose for Trouble, Suave</t>
        </is>
      </c>
      <c r="I224" t="inlineStr">
        <is>
          <t>Blunderbuss with 10 Shots, Inn or Townhouse, Staff</t>
        </is>
      </c>
      <c r="J224" t="inlineStr">
        <is>
          <t>|Charm|Consume Alcohol|Evaluate|Gamble|Gossip|Haggle|Intuition|Lore (Local)|Research|Secret Signs (Guilder)|Bribery|Cool|Entertain (any)|Language (any)|Melee (Brawling)|Trade (any)|Intimidate|Leadership|Perception|Ranged (Blackpowder)|</t>
        </is>
      </c>
      <c r="K224" t="inlineStr">
        <is>
          <t>|Dealmaker|Embezzle|Read/Write|Speedreader|Blather|Etiquette (any)|Gregarious|Savvy|Lip Reading|Nose for Trouble|Suave|</t>
        </is>
      </c>
      <c r="L224" t="inlineStr">
        <is>
          <t>Ambitious and socially mobile, you are the hardworking glue that holds urban society together.</t>
        </is>
      </c>
      <c r="M224" t="inlineStr">
        <is>
          <t>Haggle</t>
        </is>
      </c>
      <c r="N224" t="inlineStr">
        <is>
          <t>Dwarf, Halfling, High Elf, Human</t>
        </is>
      </c>
      <c r="O224" t="n">
        <v>100</v>
      </c>
      <c r="R224" t="n">
        <v>1</v>
      </c>
      <c r="T224" t="n">
        <v>2</v>
      </c>
      <c r="V224" t="n">
        <v>4</v>
      </c>
      <c r="W224" t="n">
        <v>1</v>
      </c>
      <c r="X224" t="n">
        <v>3</v>
      </c>
      <c r="Y224" t="n">
        <v>1</v>
      </c>
    </row>
    <row r="225">
      <c r="A225" t="inlineStr">
        <is>
          <t>Townsman|4</t>
        </is>
      </c>
      <c r="B225" t="inlineStr">
        <is>
          <t>Townsman</t>
        </is>
      </c>
      <c r="C225" t="n">
        <v>4</v>
      </c>
      <c r="D225" t="inlineStr">
        <is>
          <t>Burgher</t>
        </is>
      </c>
      <c r="E225" t="inlineStr">
        <is>
          <t>Burgomeister</t>
        </is>
      </c>
      <c r="F225" t="inlineStr">
        <is>
          <t>Gold 3</t>
        </is>
      </c>
      <c r="G225" t="inlineStr">
        <is>
          <t>Entertain (Speeches), Lore (Politics)</t>
        </is>
      </c>
      <c r="H225" t="inlineStr">
        <is>
          <t>Briber, Public Speaker, Schemer, Wealthy</t>
        </is>
      </c>
      <c r="I225" t="inlineStr">
        <is>
          <t>Chains of Office, Coach and Footman, Large Townhouse with Gardens and Servants, Quality Clothing</t>
        </is>
      </c>
      <c r="J225" t="inlineStr">
        <is>
          <t>|Charm|Consume Alcohol|Evaluate|Gamble|Gossip|Haggle|Intuition|Lore (Local)|Research|Secret Signs (Guilder)|Bribery|Cool|Entertain (any)|Language (any)|Melee (Brawling)|Trade (any)|Intimidate|Leadership|Perception|Ranged (Blackpowder)|Entertain (Speeches)|Lore (Politics)|</t>
        </is>
      </c>
      <c r="K225" t="inlineStr">
        <is>
          <t>|Dealmaker|Embezzle|Read/Write|Speedreader|Blather|Etiquette (any)|Gregarious|Savvy|Lip Reading|Nose for Trouble|Suave|Briber|Public Speaker|Schemer|Wealthy|</t>
        </is>
      </c>
      <c r="L225" t="inlineStr">
        <is>
          <t>Ambitious and socially mobile, you are the hardworking glue that holds urban society together.</t>
        </is>
      </c>
      <c r="M225" t="inlineStr">
        <is>
          <t>Haggle</t>
        </is>
      </c>
      <c r="N225" t="inlineStr">
        <is>
          <t>Dwarf, Halfling, High Elf, Human</t>
        </is>
      </c>
      <c r="O225" t="n">
        <v>100</v>
      </c>
      <c r="R225" t="n">
        <v>1</v>
      </c>
      <c r="T225" t="n">
        <v>2</v>
      </c>
      <c r="V225" t="n">
        <v>4</v>
      </c>
      <c r="W225" t="n">
        <v>1</v>
      </c>
      <c r="X225" t="n">
        <v>3</v>
      </c>
      <c r="Y225" t="n">
        <v>1</v>
      </c>
    </row>
    <row r="226">
      <c r="A226" t="inlineStr">
        <is>
          <t>Villager|1</t>
        </is>
      </c>
      <c r="B226" t="inlineStr">
        <is>
          <t>Villager</t>
        </is>
      </c>
      <c r="C226" t="n">
        <v>1</v>
      </c>
      <c r="D226" t="inlineStr">
        <is>
          <t>Peasant</t>
        </is>
      </c>
      <c r="E226" t="inlineStr">
        <is>
          <t>Peasant</t>
        </is>
      </c>
      <c r="F226" t="inlineStr">
        <is>
          <t>Brass 2</t>
        </is>
      </c>
      <c r="G226" t="inlineStr">
        <is>
          <t>Animal Care, Athletics, Charm Animal, Consume Alcohol, Dodge, Endurance, Gossip, Lore (Local), Melee (Brawling), Outdoor Survival</t>
        </is>
      </c>
      <c r="H226" t="inlineStr">
        <is>
          <t>Hardy, Stone Soup, Strong Back, Tenacious</t>
        </is>
      </c>
      <c r="I226" t="inlineStr">
        <is>
          <t>None</t>
        </is>
      </c>
      <c r="J226" t="inlineStr">
        <is>
          <t>|Animal Care|Athletics|Charm Animal|Consume Alcohol|Dodge|Endurance|Gossip|Lore (Local)|Melee (Brawling)|Outdoor Survival|</t>
        </is>
      </c>
      <c r="K226" t="inlineStr">
        <is>
          <t>|Hardy|Stone Soup|Strong Back|Tenacious|</t>
        </is>
      </c>
      <c r="L226" t="inlineStr">
        <is>
          <t>You are the salt of the earth, one of the multitude of rural workers who toil to nurture civilisation.</t>
        </is>
      </c>
      <c r="M226" t="inlineStr">
        <is>
          <t>Endurance</t>
        </is>
      </c>
      <c r="N226" t="inlineStr">
        <is>
          <t>Dwarf, Halfling, Human</t>
        </is>
      </c>
      <c r="O226" t="n">
        <v>101</v>
      </c>
      <c r="R226" t="n">
        <v>1</v>
      </c>
      <c r="S226" t="n">
        <v>1</v>
      </c>
      <c r="U226" t="n">
        <v>1</v>
      </c>
      <c r="V226" t="n">
        <v>2</v>
      </c>
      <c r="W226" t="n">
        <v>4</v>
      </c>
      <c r="Y226" t="n">
        <v>3</v>
      </c>
    </row>
    <row r="227">
      <c r="A227" t="inlineStr">
        <is>
          <t>Villager|2</t>
        </is>
      </c>
      <c r="B227" t="inlineStr">
        <is>
          <t>Villager</t>
        </is>
      </c>
      <c r="C227" t="n">
        <v>2</v>
      </c>
      <c r="D227" t="inlineStr">
        <is>
          <t>Peasant</t>
        </is>
      </c>
      <c r="E227" t="inlineStr">
        <is>
          <t>Villager</t>
        </is>
      </c>
      <c r="F227" t="inlineStr">
        <is>
          <t>Brass 3</t>
        </is>
      </c>
      <c r="G227" t="inlineStr">
        <is>
          <t>Animal Training (Any One Domesticated Animal), Drive, Entertain (Storytelling), Melee (Basic, Polearm, or Two-handed), Ranged (Entangling or Sling), Trade (Any One)</t>
        </is>
      </c>
      <c r="H227" t="inlineStr">
        <is>
          <t>Animal Affinity, Craftsman (as Trade), Striding Gait (Any One), Sturdy</t>
        </is>
      </c>
      <c r="I227" t="inlineStr">
        <is>
          <t>Hand Weapon (Axe), Lasso or Sling with 10 Stone Bullets, Leather Jerkin, Trade Tools (as Trade)</t>
        </is>
      </c>
      <c r="J227" t="inlineStr">
        <is>
          <t>|Animal Care|Athletics|Charm Animal|Consume Alcohol|Dodge|Endurance|Gossip|Lore (Local)|Melee (Brawling)|Outdoor Survival|Animal Training (any)|Drive|Entertain (Storytelling)|Melee (Basic)|Melee (Polearm)|Melee (Two-handed)|Ranged (Entangling)|Ranged (Sling)|Trade (any)|</t>
        </is>
      </c>
      <c r="K227" t="inlineStr">
        <is>
          <t>|Hardy|Stone Soup|Strong Back|Tenacious|Animal Affinity|Craftsman (any)|Striding Gait (any)|Sturdy|</t>
        </is>
      </c>
      <c r="L227" t="inlineStr">
        <is>
          <t>You are the salt of the earth, one of the multitude of rural workers who toil to nurture civilisation.</t>
        </is>
      </c>
      <c r="M227" t="inlineStr">
        <is>
          <t>Endurance</t>
        </is>
      </c>
      <c r="N227" t="inlineStr">
        <is>
          <t>Dwarf, Halfling, Human</t>
        </is>
      </c>
      <c r="O227" t="n">
        <v>101</v>
      </c>
      <c r="R227" t="n">
        <v>1</v>
      </c>
      <c r="S227" t="n">
        <v>1</v>
      </c>
      <c r="U227" t="n">
        <v>1</v>
      </c>
      <c r="V227" t="n">
        <v>2</v>
      </c>
      <c r="W227" t="n">
        <v>4</v>
      </c>
      <c r="Y227" t="n">
        <v>3</v>
      </c>
    </row>
    <row r="228">
      <c r="A228" t="inlineStr">
        <is>
          <t>Villager|3</t>
        </is>
      </c>
      <c r="B228" t="inlineStr">
        <is>
          <t>Villager</t>
        </is>
      </c>
      <c r="C228" t="n">
        <v>3</v>
      </c>
      <c r="D228" t="inlineStr">
        <is>
          <t>Peasant</t>
        </is>
      </c>
      <c r="E228" t="inlineStr">
        <is>
          <t>Councillor</t>
        </is>
      </c>
      <c r="F228" t="inlineStr">
        <is>
          <t>Brass 5</t>
        </is>
      </c>
      <c r="G228" t="inlineStr">
        <is>
          <t>Bribery, Charm, Intimidate, Leadership</t>
        </is>
      </c>
      <c r="H228" t="inlineStr">
        <is>
          <t>Stout-hearted, Strong-minded, Supportive, Very Resilient</t>
        </is>
      </c>
      <c r="I228" t="inlineStr">
        <is>
          <t>Cottage, Mule and Cart, Workshop (as Trade)</t>
        </is>
      </c>
      <c r="J228" t="inlineStr">
        <is>
          <t>|Animal Care|Athletics|Charm Animal|Consume Alcohol|Dodge|Endurance|Gossip|Lore (Local)|Melee (Brawling)|Outdoor Survival|Animal Training (any)|Drive|Entertain (Storytelling)|Melee (Basic)|Melee (Polearm)|Melee (Two-handed)|Ranged (Entangling)|Ranged (Sling)|Trade (any)|Bribery|Charm|Intimidate|Leadership|</t>
        </is>
      </c>
      <c r="K228" t="inlineStr">
        <is>
          <t>|Hardy|Stone Soup|Strong Back|Tenacious|Animal Affinity|Craftsman (any)|Striding Gait (any)|Sturdy|Stout-hearted|Strong-minded|Supportive|Very Resilient|</t>
        </is>
      </c>
      <c r="L228" t="inlineStr">
        <is>
          <t>You are the salt of the earth, one of the multitude of rural workers who toil to nurture civilisation.</t>
        </is>
      </c>
      <c r="M228" t="inlineStr">
        <is>
          <t>Endurance</t>
        </is>
      </c>
      <c r="N228" t="inlineStr">
        <is>
          <t>Dwarf, Halfling, Human</t>
        </is>
      </c>
      <c r="O228" t="n">
        <v>101</v>
      </c>
      <c r="R228" t="n">
        <v>1</v>
      </c>
      <c r="S228" t="n">
        <v>1</v>
      </c>
      <c r="U228" t="n">
        <v>1</v>
      </c>
      <c r="V228" t="n">
        <v>2</v>
      </c>
      <c r="W228" t="n">
        <v>4</v>
      </c>
      <c r="Y228" t="n">
        <v>3</v>
      </c>
    </row>
    <row r="229">
      <c r="A229" t="inlineStr">
        <is>
          <t>Villager|4</t>
        </is>
      </c>
      <c r="B229" t="inlineStr">
        <is>
          <t>Villager</t>
        </is>
      </c>
      <c r="C229" t="n">
        <v>4</v>
      </c>
      <c r="D229" t="inlineStr">
        <is>
          <t>Peasant</t>
        </is>
      </c>
      <c r="E229" t="inlineStr">
        <is>
          <t>Village Elder</t>
        </is>
      </c>
      <c r="F229" t="inlineStr">
        <is>
          <t>Silver 2</t>
        </is>
      </c>
      <c r="G229" t="inlineStr">
        <is>
          <t>Intuition, Lore (Folklore)</t>
        </is>
      </c>
      <c r="H229" t="inlineStr">
        <is>
          <t>Master Tradesman (as Trade), Nimble-fingered, Public Speaker, Savant (Local)</t>
        </is>
      </c>
      <c r="I229" t="inlineStr">
        <is>
          <t>The Respect of the Village</t>
        </is>
      </c>
      <c r="J229" t="inlineStr">
        <is>
          <t>|Animal Care|Athletics|Charm Animal|Consume Alcohol|Dodge|Endurance|Gossip|Lore (Local)|Melee (Brawling)|Outdoor Survival|Animal Training (any)|Drive|Entertain (Storytelling)|Melee (Basic)|Melee (Polearm)|Melee (Two-handed)|Ranged (Entangling)|Ranged (Sling)|Trade (any)|Bribery|Charm|Intimidate|Leadership|Intuition|Lore (Folklore)|</t>
        </is>
      </c>
      <c r="K229" t="inlineStr">
        <is>
          <t>|Hardy|Stone Soup|Strong Back|Tenacious|Animal Affinity|Craftsman (any)|Striding Gait (any)|Sturdy|Stout-hearted|Strong-minded|Supportive|Very Resilient|Master Tradesman (any)|Nimble-fingered|Public Speaker|Savant (Local)|</t>
        </is>
      </c>
      <c r="L229" t="inlineStr">
        <is>
          <t>You are the salt of the earth, one of the multitude of rural workers who toil to nurture civilisation.</t>
        </is>
      </c>
      <c r="M229" t="inlineStr">
        <is>
          <t>Endurance</t>
        </is>
      </c>
      <c r="N229" t="inlineStr">
        <is>
          <t>Dwarf, Halfling, Human</t>
        </is>
      </c>
      <c r="O229" t="n">
        <v>101</v>
      </c>
      <c r="R229" t="n">
        <v>1</v>
      </c>
      <c r="S229" t="n">
        <v>1</v>
      </c>
      <c r="U229" t="n">
        <v>1</v>
      </c>
      <c r="V229" t="n">
        <v>2</v>
      </c>
      <c r="W229" t="n">
        <v>4</v>
      </c>
      <c r="Y229" t="n">
        <v>3</v>
      </c>
    </row>
    <row r="230">
      <c r="A230" t="inlineStr">
        <is>
          <t>Warden|1</t>
        </is>
      </c>
      <c r="B230" t="inlineStr">
        <is>
          <t>Warden</t>
        </is>
      </c>
      <c r="C230" t="n">
        <v>1</v>
      </c>
      <c r="D230" t="inlineStr">
        <is>
          <t>Courtier</t>
        </is>
      </c>
      <c r="E230" t="inlineStr">
        <is>
          <t>Custodian</t>
        </is>
      </c>
      <c r="F230" t="inlineStr">
        <is>
          <t>Brass 4</t>
        </is>
      </c>
      <c r="G230" t="inlineStr">
        <is>
          <t>Animal Care, Athletics, Charm Animal, Consume Alcohol, Cool, Endurance, Evaluate, Intuition, Lore (Local), Perception</t>
        </is>
      </c>
      <c r="H230" t="inlineStr">
        <is>
          <t>Animal Affinity, Etiquette (Servants), Night Vision, Sharp</t>
        </is>
      </c>
      <c r="I230" t="inlineStr">
        <is>
          <t>Keys, Lamp Oil, Lantern, Livery</t>
        </is>
      </c>
      <c r="J230" t="inlineStr">
        <is>
          <t>|Animal Care|Athletics|Charm Animal|Consume Alcohol|Cool|Endurance|Evaluate|Intuition|Lore (Local)|Perception|</t>
        </is>
      </c>
      <c r="K230" t="inlineStr">
        <is>
          <t>|Animal Affinity|Etiquette (Servants)|Night Vision|Sharp|</t>
        </is>
      </c>
      <c r="L230" t="inlineStr">
        <is>
          <t>You oversee a landowner's territory, keeping it in proper order and secure from threats.</t>
        </is>
      </c>
      <c r="M230" t="inlineStr">
        <is>
          <t>Evaluate</t>
        </is>
      </c>
      <c r="N230" t="inlineStr">
        <is>
          <t>Dwarf, Halfling, High Elf, Human, Wood Elf</t>
        </is>
      </c>
      <c r="O230" t="n">
        <v>102</v>
      </c>
      <c r="P230" t="n">
        <v>2</v>
      </c>
      <c r="S230" t="n">
        <v>1</v>
      </c>
      <c r="T230" t="n">
        <v>1</v>
      </c>
      <c r="W230" t="n">
        <v>1</v>
      </c>
      <c r="X230" t="n">
        <v>4</v>
      </c>
      <c r="Y230" t="n">
        <v>3</v>
      </c>
    </row>
    <row r="231">
      <c r="A231" t="inlineStr">
        <is>
          <t>Warden|2</t>
        </is>
      </c>
      <c r="B231" t="inlineStr">
        <is>
          <t>Warden</t>
        </is>
      </c>
      <c r="C231" t="n">
        <v>2</v>
      </c>
      <c r="D231" t="inlineStr">
        <is>
          <t>Courtier</t>
        </is>
      </c>
      <c r="E231" t="inlineStr">
        <is>
          <t>Warden</t>
        </is>
      </c>
      <c r="F231" t="inlineStr">
        <is>
          <t>Silver 3</t>
        </is>
      </c>
      <c r="G231" t="inlineStr">
        <is>
          <t>Intimidate, Melee (Basic), Outdoor Survival, Ranged (Bow), Ride (Horse), Stealth (Rural)</t>
        </is>
      </c>
      <c r="H231" t="inlineStr">
        <is>
          <t>Menacing, Rover, Striding Gait (Any One), Strike to Stun</t>
        </is>
      </c>
      <c r="I231" t="inlineStr">
        <is>
          <t>Bow with 10 Arrows or Hand Weapon, Leather Jack, Riding Horse</t>
        </is>
      </c>
      <c r="J231" t="inlineStr">
        <is>
          <t>|Animal Care|Athletics|Charm Animal|Consume Alcohol|Cool|Endurance|Evaluate|Intuition|Lore (Local)|Perception|Intimidate|Melee (Basic)|Outdoor Survival|Ranged (Bow)|Ride (Horse)|Stealth (Rural)|</t>
        </is>
      </c>
      <c r="K231" t="inlineStr">
        <is>
          <t>|Animal Affinity|Etiquette (Servants)|Night Vision|Sharp|Menacing|Rover|Striding Gait (any)|Strike to Stun|</t>
        </is>
      </c>
      <c r="L231" t="inlineStr">
        <is>
          <t>You oversee a landowner's territory, keeping it in proper order and secure from threats.</t>
        </is>
      </c>
      <c r="M231" t="inlineStr">
        <is>
          <t>Evaluate</t>
        </is>
      </c>
      <c r="N231" t="inlineStr">
        <is>
          <t>Dwarf, Halfling, High Elf, Human, Wood Elf</t>
        </is>
      </c>
      <c r="O231" t="n">
        <v>102</v>
      </c>
      <c r="P231" t="n">
        <v>2</v>
      </c>
      <c r="S231" t="n">
        <v>1</v>
      </c>
      <c r="T231" t="n">
        <v>1</v>
      </c>
      <c r="W231" t="n">
        <v>1</v>
      </c>
      <c r="X231" t="n">
        <v>4</v>
      </c>
      <c r="Y231" t="n">
        <v>3</v>
      </c>
    </row>
    <row r="232">
      <c r="A232" t="inlineStr">
        <is>
          <t>Warden|3</t>
        </is>
      </c>
      <c r="B232" t="inlineStr">
        <is>
          <t>Warden</t>
        </is>
      </c>
      <c r="C232" t="n">
        <v>3</v>
      </c>
      <c r="D232" t="inlineStr">
        <is>
          <t>Courtier</t>
        </is>
      </c>
      <c r="E232" t="inlineStr">
        <is>
          <t>Seneschal</t>
        </is>
      </c>
      <c r="F232" t="inlineStr">
        <is>
          <t>Gold 1</t>
        </is>
      </c>
      <c r="G232" t="inlineStr">
        <is>
          <t>Bribery, Charm, Gossip, Leadership</t>
        </is>
      </c>
      <c r="H232" t="inlineStr">
        <is>
          <t>Embezzle, Etiquette (Any One), Public Speaker, Read/Write</t>
        </is>
      </c>
      <c r="I232" t="inlineStr">
        <is>
          <t>Breastplate, Rod of Office, Staff of Custodians</t>
        </is>
      </c>
      <c r="J232" t="inlineStr">
        <is>
          <t>|Animal Care|Athletics|Charm Animal|Consume Alcohol|Cool|Endurance|Evaluate|Intuition|Lore (Local)|Perception|Intimidate|Melee (Basic)|Outdoor Survival|Ranged (Bow)|Ride (Horse)|Stealth (Rural)|Bribery|Charm|Gossip|Leadership|</t>
        </is>
      </c>
      <c r="K232" t="inlineStr">
        <is>
          <t>|Animal Affinity|Etiquette (Servants)|Night Vision|Sharp|Menacing|Rover|Striding Gait (any)|Strike to Stun|Embezzle|Etiquette (any)|Public Speaker|Read/Write|</t>
        </is>
      </c>
      <c r="L232" t="inlineStr">
        <is>
          <t>You oversee a landowner's territory, keeping it in proper order and secure from threats.</t>
        </is>
      </c>
      <c r="M232" t="inlineStr">
        <is>
          <t>Evaluate</t>
        </is>
      </c>
      <c r="N232" t="inlineStr">
        <is>
          <t>Dwarf, Halfling, High Elf, Human, Wood Elf</t>
        </is>
      </c>
      <c r="O232" t="n">
        <v>102</v>
      </c>
      <c r="P232" t="n">
        <v>2</v>
      </c>
      <c r="S232" t="n">
        <v>1</v>
      </c>
      <c r="T232" t="n">
        <v>1</v>
      </c>
      <c r="W232" t="n">
        <v>1</v>
      </c>
      <c r="X232" t="n">
        <v>4</v>
      </c>
      <c r="Y232" t="n">
        <v>3</v>
      </c>
    </row>
    <row r="233">
      <c r="A233" t="inlineStr">
        <is>
          <t>Warden|4</t>
        </is>
      </c>
      <c r="B233" t="inlineStr">
        <is>
          <t>Warden</t>
        </is>
      </c>
      <c r="C233" t="n">
        <v>4</v>
      </c>
      <c r="D233" t="inlineStr">
        <is>
          <t>Courtier</t>
        </is>
      </c>
      <c r="E233" t="inlineStr">
        <is>
          <t>Governor</t>
        </is>
      </c>
      <c r="F233" t="inlineStr">
        <is>
          <t>Gold 4</t>
        </is>
      </c>
      <c r="G233" t="inlineStr">
        <is>
          <t>Language (Classical), Lore (Politics)</t>
        </is>
      </c>
      <c r="H233" t="inlineStr">
        <is>
          <t>Carouser, Commanding Presence, Savant (Local), Wealthy</t>
        </is>
      </c>
      <c r="I233" t="inlineStr">
        <is>
          <t>Aide, Governor's Residence, Servant</t>
        </is>
      </c>
      <c r="J233" t="inlineStr">
        <is>
          <t>|Animal Care|Athletics|Charm Animal|Consume Alcohol|Cool|Endurance|Evaluate|Intuition|Lore (Local)|Perception|Intimidate|Melee (Basic)|Outdoor Survival|Ranged (Bow)|Ride (Horse)|Stealth (Rural)|Bribery|Charm|Gossip|Leadership|Language (Classical)|Lore (Politics)|</t>
        </is>
      </c>
      <c r="K233" t="inlineStr">
        <is>
          <t>|Animal Affinity|Etiquette (Servants)|Night Vision|Sharp|Menacing|Rover|Striding Gait (any)|Strike to Stun|Embezzle|Etiquette (any)|Public Speaker|Read/Write|Carouser|Commanding Presence|Savant (Local)|Wealthy|</t>
        </is>
      </c>
      <c r="L233" t="inlineStr">
        <is>
          <t>You oversee a landowner's territory, keeping it in proper order and secure from threats.</t>
        </is>
      </c>
      <c r="M233" t="inlineStr">
        <is>
          <t>Evaluate</t>
        </is>
      </c>
      <c r="N233" t="inlineStr">
        <is>
          <t>Dwarf, Halfling, High Elf, Human, Wood Elf</t>
        </is>
      </c>
      <c r="O233" t="n">
        <v>102</v>
      </c>
      <c r="P233" t="n">
        <v>2</v>
      </c>
      <c r="S233" t="n">
        <v>1</v>
      </c>
      <c r="T233" t="n">
        <v>1</v>
      </c>
      <c r="W233" t="n">
        <v>1</v>
      </c>
      <c r="X233" t="n">
        <v>4</v>
      </c>
      <c r="Y233" t="n">
        <v>3</v>
      </c>
    </row>
    <row r="234">
      <c r="A234" t="inlineStr">
        <is>
          <t>Warrior Priest|1</t>
        </is>
      </c>
      <c r="B234" t="inlineStr">
        <is>
          <t>Warrior Priest</t>
        </is>
      </c>
      <c r="C234" t="n">
        <v>1</v>
      </c>
      <c r="D234" t="inlineStr">
        <is>
          <t>Warrior</t>
        </is>
      </c>
      <c r="E234" t="inlineStr">
        <is>
          <t>Neophyte</t>
        </is>
      </c>
      <c r="F234" t="inlineStr">
        <is>
          <t>Brass 2</t>
        </is>
      </c>
      <c r="G234" t="inlineStr">
        <is>
          <t>Athletics, Cool, Dodge, Endurance, Heal, Language (Classical), Leadership, Lore (Theology), Melee (Any One), Pray</t>
        </is>
      </c>
      <c r="H234" t="inlineStr">
        <is>
          <t>Bless (Any One), Etiquette (Cultists), Holy Visions, Read/Write</t>
        </is>
      </c>
      <c r="I234" t="inlineStr">
        <is>
          <t>Book (Religion), Melee Weapon (Any), Leather Jerkin, Religious Symbol, Robes</t>
        </is>
      </c>
      <c r="J234" t="inlineStr">
        <is>
          <t>|Athletics|Cool|Dodge|Endurance|Heal|Language (Classical)|Leadership|Lore (Theology)|Melee (any)|Pray|</t>
        </is>
      </c>
      <c r="K234" t="inlineStr">
        <is>
          <t>|Bless (any)|Etiquette (Cultists)|Holy Visions|Read/Write|</t>
        </is>
      </c>
      <c r="L234" t="inlineStr">
        <is>
          <t>You bring holy force to the thick of battle, slaying the enemies of your god with righteous fury.</t>
        </is>
      </c>
      <c r="M234" t="inlineStr">
        <is>
          <t>Leadership</t>
        </is>
      </c>
      <c r="N234" t="inlineStr">
        <is>
          <t>Human</t>
        </is>
      </c>
      <c r="O234" t="n">
        <v>103</v>
      </c>
      <c r="P234" t="n">
        <v>1</v>
      </c>
      <c r="R234" t="n">
        <v>2</v>
      </c>
      <c r="S234" t="n">
        <v>3</v>
      </c>
      <c r="T234" t="n">
        <v>4</v>
      </c>
      <c r="X234" t="n">
        <v>1</v>
      </c>
      <c r="Y234" t="n">
        <v>1</v>
      </c>
    </row>
    <row r="235">
      <c r="A235" t="inlineStr">
        <is>
          <t>Warrior Priest|2</t>
        </is>
      </c>
      <c r="B235" t="inlineStr">
        <is>
          <t>Warrior Priest</t>
        </is>
      </c>
      <c r="C235" t="n">
        <v>2</v>
      </c>
      <c r="D235" t="inlineStr">
        <is>
          <t>Warrior</t>
        </is>
      </c>
      <c r="E235" t="inlineStr">
        <is>
          <t>Warrior Priest</t>
        </is>
      </c>
      <c r="F235" t="inlineStr">
        <is>
          <t>Silver 3</t>
        </is>
      </c>
      <c r="G235" t="inlineStr">
        <is>
          <t>Charm, Entertain (Speeches), Intimidate, Language (Battle), Melee (Any One), Ranged (Any One)</t>
        </is>
      </c>
      <c r="H235" t="inlineStr">
        <is>
          <t>Dual Wielder, Inspiring, Invoke (Any One), Sturdy</t>
        </is>
      </c>
      <c r="I235" t="inlineStr">
        <is>
          <t>Breastplate, Weapon (Any)</t>
        </is>
      </c>
      <c r="J235" t="inlineStr">
        <is>
          <t>|Athletics|Cool|Dodge|Endurance|Heal|Language (Classical)|Leadership|Lore (Theology)|Melee (any)|Pray|Charm|Entertain (Speeches)|Intimidate|Language (Battle)|Ranged (any)|</t>
        </is>
      </c>
      <c r="K235" t="inlineStr">
        <is>
          <t>|Bless (any)|Etiquette (Cultists)|Holy Visions|Read/Write|Dual Wielder|Inspiring|Invoke (any)|Sturdy|</t>
        </is>
      </c>
      <c r="L235" t="inlineStr">
        <is>
          <t>You bring holy force to the thick of battle, slaying the enemies of your god with righteous fury.</t>
        </is>
      </c>
      <c r="M235" t="inlineStr">
        <is>
          <t>Leadership</t>
        </is>
      </c>
      <c r="N235" t="inlineStr">
        <is>
          <t>Human</t>
        </is>
      </c>
      <c r="O235" t="n">
        <v>103</v>
      </c>
      <c r="P235" t="n">
        <v>1</v>
      </c>
      <c r="R235" t="n">
        <v>2</v>
      </c>
      <c r="S235" t="n">
        <v>3</v>
      </c>
      <c r="T235" t="n">
        <v>4</v>
      </c>
      <c r="X235" t="n">
        <v>1</v>
      </c>
      <c r="Y235" t="n">
        <v>1</v>
      </c>
    </row>
    <row r="236">
      <c r="A236" t="inlineStr">
        <is>
          <t>Warrior Priest|3</t>
        </is>
      </c>
      <c r="B236" t="inlineStr">
        <is>
          <t>Warrior Priest</t>
        </is>
      </c>
      <c r="C236" t="n">
        <v>3</v>
      </c>
      <c r="D236" t="inlineStr">
        <is>
          <t>Warrior</t>
        </is>
      </c>
      <c r="E236" t="inlineStr">
        <is>
          <t>Priest Sergeant</t>
        </is>
      </c>
      <c r="F236" t="inlineStr">
        <is>
          <t>Silver 5</t>
        </is>
      </c>
      <c r="G236" t="inlineStr">
        <is>
          <t>Animal Care, Intuition, Perception, Ride (Horse)</t>
        </is>
      </c>
      <c r="H236" t="inlineStr">
        <is>
          <t>Combat Aware, Pure Soul, Seasoned Traveller, Stout-hearted</t>
        </is>
      </c>
      <c r="I236" t="inlineStr">
        <is>
          <t>Light Warhorse</t>
        </is>
      </c>
      <c r="J236" t="inlineStr">
        <is>
          <t>|Athletics|Cool|Dodge|Endurance|Heal|Language (Classical)|Leadership|Lore (Theology)|Melee (any)|Pray|Charm|Entertain (Speeches)|Intimidate|Language (Battle)|Ranged (any)|Animal Care|Intuition|Perception|Ride (Horse)|</t>
        </is>
      </c>
      <c r="K236" t="inlineStr">
        <is>
          <t>|Bless (any)|Etiquette (Cultists)|Holy Visions|Read/Write|Dual Wielder|Inspiring|Invoke (any)|Sturdy|Combat Aware|Pure Soul|Seasoned Traveller|Stout-hearted|</t>
        </is>
      </c>
      <c r="L236" t="inlineStr">
        <is>
          <t>You bring holy force to the thick of battle, slaying the enemies of your god with righteous fury.</t>
        </is>
      </c>
      <c r="M236" t="inlineStr">
        <is>
          <t>Leadership</t>
        </is>
      </c>
      <c r="N236" t="inlineStr">
        <is>
          <t>Human</t>
        </is>
      </c>
      <c r="O236" t="n">
        <v>103</v>
      </c>
      <c r="P236" t="n">
        <v>1</v>
      </c>
      <c r="R236" t="n">
        <v>2</v>
      </c>
      <c r="S236" t="n">
        <v>3</v>
      </c>
      <c r="T236" t="n">
        <v>4</v>
      </c>
      <c r="X236" t="n">
        <v>1</v>
      </c>
      <c r="Y236" t="n">
        <v>1</v>
      </c>
    </row>
    <row r="237">
      <c r="A237" t="inlineStr">
        <is>
          <t>Warrior Priest|4</t>
        </is>
      </c>
      <c r="B237" t="inlineStr">
        <is>
          <t>Warrior Priest</t>
        </is>
      </c>
      <c r="C237" t="n">
        <v>4</v>
      </c>
      <c r="D237" t="inlineStr">
        <is>
          <t>Warrior</t>
        </is>
      </c>
      <c r="E237" t="inlineStr">
        <is>
          <t>Priest Captain</t>
        </is>
      </c>
      <c r="F237" t="inlineStr">
        <is>
          <t>Gold 1</t>
        </is>
      </c>
      <c r="G237" t="inlineStr">
        <is>
          <t>Drive, Lore (Warfare)</t>
        </is>
      </c>
      <c r="H237" t="inlineStr">
        <is>
          <t>Fearless (Any One), Furious Assault, Holy Hatred, War Leader</t>
        </is>
      </c>
      <c r="I237" t="inlineStr">
        <is>
          <t>Religious Relic</t>
        </is>
      </c>
      <c r="J237" t="inlineStr">
        <is>
          <t>|Athletics|Cool|Dodge|Endurance|Heal|Language (Classical)|Leadership|Lore (Theology)|Melee (any)|Pray|Charm|Entertain (Speeches)|Intimidate|Language (Battle)|Ranged (any)|Animal Care|Intuition|Perception|Ride (Horse)|Drive|Lore (Warfare)|</t>
        </is>
      </c>
      <c r="K237" t="inlineStr">
        <is>
          <t>|Bless (any)|Etiquette (Cultists)|Holy Visions|Read/Write|Dual Wielder|Inspiring|Invoke (any)|Sturdy|Combat Aware|Pure Soul|Seasoned Traveller|Stout-hearted|Fearless (any)|Furious Assault|Holy Hatred|War Leader|</t>
        </is>
      </c>
      <c r="L237" t="inlineStr">
        <is>
          <t>You bring holy force to the thick of battle, slaying the enemies of your god with righteous fury.</t>
        </is>
      </c>
      <c r="M237" t="inlineStr">
        <is>
          <t>Leadership</t>
        </is>
      </c>
      <c r="N237" t="inlineStr">
        <is>
          <t>Human</t>
        </is>
      </c>
      <c r="O237" t="n">
        <v>103</v>
      </c>
      <c r="P237" t="n">
        <v>1</v>
      </c>
      <c r="R237" t="n">
        <v>2</v>
      </c>
      <c r="S237" t="n">
        <v>3</v>
      </c>
      <c r="T237" t="n">
        <v>4</v>
      </c>
      <c r="X237" t="n">
        <v>1</v>
      </c>
      <c r="Y237" t="n">
        <v>1</v>
      </c>
    </row>
    <row r="238">
      <c r="A238" t="inlineStr">
        <is>
          <t>Watchman|1</t>
        </is>
      </c>
      <c r="B238" t="inlineStr">
        <is>
          <t>Watchman</t>
        </is>
      </c>
      <c r="C238" t="n">
        <v>1</v>
      </c>
      <c r="D238" t="inlineStr">
        <is>
          <t>Burgher</t>
        </is>
      </c>
      <c r="E238" t="inlineStr">
        <is>
          <t>Watch Recruit</t>
        </is>
      </c>
      <c r="F238" t="inlineStr">
        <is>
          <t>Brass 3</t>
        </is>
      </c>
      <c r="G238" t="inlineStr">
        <is>
          <t>Athletics, Consume Alcohol, Cool, Dodge, Endurance, Gamble, Gossip, Intimidate, Melee (Basic), Perception</t>
        </is>
      </c>
      <c r="H238" t="inlineStr">
        <is>
          <t>Criminal, Drilled, Sprinter, Strike to Stun</t>
        </is>
      </c>
      <c r="I238" t="inlineStr">
        <is>
          <t>Hand Weapon, Leather Jack, Uniform</t>
        </is>
      </c>
      <c r="J238" t="inlineStr">
        <is>
          <t>|Athletics|Consume Alcohol|Cool|Dodge|Endurance|Gamble|Gossip|Intimidate|Melee (Basic)|Perception|</t>
        </is>
      </c>
      <c r="K238" t="inlineStr">
        <is>
          <t>|Criminal|Drilled|Sprinter|Strike to Stun|</t>
        </is>
      </c>
      <c r="L238" t="inlineStr">
        <is>
          <t>You are paid to maintain the peace and keep the rabble in line, to keep anarchy and crime at bay.</t>
        </is>
      </c>
      <c r="M238" t="inlineStr">
        <is>
          <t>Perception</t>
        </is>
      </c>
      <c r="N238" t="inlineStr">
        <is>
          <t>Dwarf, Halfling, High Elf, Human</t>
        </is>
      </c>
      <c r="O238" t="n">
        <v>104</v>
      </c>
      <c r="P238" t="n">
        <v>1</v>
      </c>
      <c r="R238" t="n">
        <v>1</v>
      </c>
      <c r="T238" t="n">
        <v>1</v>
      </c>
      <c r="U238" t="n">
        <v>2</v>
      </c>
      <c r="X238" t="n">
        <v>3</v>
      </c>
      <c r="Y238" t="n">
        <v>4</v>
      </c>
    </row>
    <row r="239">
      <c r="A239" t="inlineStr">
        <is>
          <t>Watchman|2</t>
        </is>
      </c>
      <c r="B239" t="inlineStr">
        <is>
          <t>Watchman</t>
        </is>
      </c>
      <c r="C239" t="n">
        <v>2</v>
      </c>
      <c r="D239" t="inlineStr">
        <is>
          <t>Burgher</t>
        </is>
      </c>
      <c r="E239" t="inlineStr">
        <is>
          <t>Watchman</t>
        </is>
      </c>
      <c r="F239" t="inlineStr">
        <is>
          <t>Silver 1</t>
        </is>
      </c>
      <c r="G239" t="inlineStr">
        <is>
          <t>Charm, Climb, Intuition, Lore (Local), Melee (Polearm), Pick Lock</t>
        </is>
      </c>
      <c r="H239" t="inlineStr">
        <is>
          <t>Break and Enter, Enclosed Fighter, Menacing, Night Vision</t>
        </is>
      </c>
      <c r="I239" t="inlineStr">
        <is>
          <t>Copper Badge, Lamp Oil, Lantern and Pole</t>
        </is>
      </c>
      <c r="J239" t="inlineStr">
        <is>
          <t>|Athletics|Consume Alcohol|Cool|Dodge|Endurance|Gamble|Gossip|Intimidate|Melee (Basic)|Perception|Charm|Climb|Intuition|Lore (Local)|Melee (Polearm)|Pick Lock|</t>
        </is>
      </c>
      <c r="K239" t="inlineStr">
        <is>
          <t>|Criminal|Drilled|Sprinter|Strike to Stun|Break and Enter|Enclosed Fighter|Menacing|Night Vision|</t>
        </is>
      </c>
      <c r="L239" t="inlineStr">
        <is>
          <t>You are paid to maintain the peace and keep the rabble in line, to keep anarchy and crime at bay.</t>
        </is>
      </c>
      <c r="M239" t="inlineStr">
        <is>
          <t>Perception</t>
        </is>
      </c>
      <c r="N239" t="inlineStr">
        <is>
          <t>Dwarf, Halfling, High Elf, Human</t>
        </is>
      </c>
      <c r="O239" t="n">
        <v>104</v>
      </c>
      <c r="P239" t="n">
        <v>1</v>
      </c>
      <c r="R239" t="n">
        <v>1</v>
      </c>
      <c r="T239" t="n">
        <v>1</v>
      </c>
      <c r="U239" t="n">
        <v>2</v>
      </c>
      <c r="X239" t="n">
        <v>3</v>
      </c>
      <c r="Y239" t="n">
        <v>4</v>
      </c>
    </row>
    <row r="240">
      <c r="A240" t="inlineStr">
        <is>
          <t>Watchman|3</t>
        </is>
      </c>
      <c r="B240" t="inlineStr">
        <is>
          <t>Watchman</t>
        </is>
      </c>
      <c r="C240" t="n">
        <v>3</v>
      </c>
      <c r="D240" t="inlineStr">
        <is>
          <t>Burgher</t>
        </is>
      </c>
      <c r="E240" t="inlineStr">
        <is>
          <t>Watch Sergeant</t>
        </is>
      </c>
      <c r="F240" t="inlineStr">
        <is>
          <t>Silver 3</t>
        </is>
      </c>
      <c r="G240" t="inlineStr">
        <is>
          <t>Entertain (Storytelling), Haggle, Leadership, Lore (Law)</t>
        </is>
      </c>
      <c r="H240" t="inlineStr">
        <is>
          <t>Disarm, Etiquette (Soldiers), Fearless (Criminals), Nose for Trouble</t>
        </is>
      </c>
      <c r="I240" t="inlineStr">
        <is>
          <t>Breastplate, Open Helm, Symbol of Rank</t>
        </is>
      </c>
      <c r="J240" t="inlineStr">
        <is>
          <t>|Athletics|Consume Alcohol|Cool|Dodge|Endurance|Gamble|Gossip|Intimidate|Melee (Basic)|Perception|Charm|Climb|Intuition|Lore (Local)|Melee (Polearm)|Pick Lock|Entertain (Storytelling)|Haggle|Leadership|Lore (Law)|</t>
        </is>
      </c>
      <c r="K240" t="inlineStr">
        <is>
          <t>|Criminal|Drilled|Sprinter|Strike to Stun|Break and Enter|Enclosed Fighter|Menacing|Night Vision|Disarm|Etiquette (Soldiers)|Fearless (Criminals)|Nose for Trouble|</t>
        </is>
      </c>
      <c r="L240" t="inlineStr">
        <is>
          <t>You are paid to maintain the peace and keep the rabble in line, to keep anarchy and crime at bay.</t>
        </is>
      </c>
      <c r="M240" t="inlineStr">
        <is>
          <t>Perception</t>
        </is>
      </c>
      <c r="N240" t="inlineStr">
        <is>
          <t>Dwarf, Halfling, High Elf, Human</t>
        </is>
      </c>
      <c r="O240" t="n">
        <v>104</v>
      </c>
      <c r="P240" t="n">
        <v>1</v>
      </c>
      <c r="R240" t="n">
        <v>1</v>
      </c>
      <c r="T240" t="n">
        <v>1</v>
      </c>
      <c r="U240" t="n">
        <v>2</v>
      </c>
      <c r="X240" t="n">
        <v>3</v>
      </c>
      <c r="Y240" t="n">
        <v>4</v>
      </c>
    </row>
    <row r="241">
      <c r="A241" t="inlineStr">
        <is>
          <t>Watchman|4</t>
        </is>
      </c>
      <c r="B241" t="inlineStr">
        <is>
          <t>Watchman</t>
        </is>
      </c>
      <c r="C241" t="n">
        <v>4</v>
      </c>
      <c r="D241" t="inlineStr">
        <is>
          <t>Burgher</t>
        </is>
      </c>
      <c r="E241" t="inlineStr">
        <is>
          <t>Watch Captain</t>
        </is>
      </c>
      <c r="F241" t="inlineStr">
        <is>
          <t>Gold 1</t>
        </is>
      </c>
      <c r="G241" t="inlineStr">
        <is>
          <t>Lore (Politics), Ride (Horse)</t>
        </is>
      </c>
      <c r="H241" t="inlineStr">
        <is>
          <t>Kingpin, Public Speaker, Robust, Schemer</t>
        </is>
      </c>
      <c r="I241" t="inlineStr">
        <is>
          <t>Quality Hand Weapon, Quality Hat, Quality Symbol of Rank, Riding Horse</t>
        </is>
      </c>
      <c r="J241" t="inlineStr">
        <is>
          <t>|Athletics|Consume Alcohol|Cool|Dodge|Endurance|Gamble|Gossip|Intimidate|Melee (Basic)|Perception|Charm|Climb|Intuition|Lore (Local)|Melee (Polearm)|Pick Lock|Entertain (Storytelling)|Haggle|Leadership|Lore (Law)|Lore (Politics)|Ride (Horse)|</t>
        </is>
      </c>
      <c r="K241" t="inlineStr">
        <is>
          <t>|Criminal|Drilled|Sprinter|Strike to Stun|Break and Enter|Enclosed Fighter|Menacing|Night Vision|Disarm|Etiquette (Soldiers)|Fearless (Criminals)|Nose for Trouble|Kingpin|Public Speaker|Robust|Schemer|</t>
        </is>
      </c>
      <c r="L241" t="inlineStr">
        <is>
          <t>You are paid to maintain the peace and keep the rabble in line, to keep anarchy and crime at bay.</t>
        </is>
      </c>
      <c r="M241" t="inlineStr">
        <is>
          <t>Perception</t>
        </is>
      </c>
      <c r="N241" t="inlineStr">
        <is>
          <t>Dwarf, Halfling, High Elf, Human</t>
        </is>
      </c>
      <c r="O241" t="n">
        <v>104</v>
      </c>
      <c r="P241" t="n">
        <v>1</v>
      </c>
      <c r="R241" t="n">
        <v>1</v>
      </c>
      <c r="T241" t="n">
        <v>1</v>
      </c>
      <c r="U241" t="n">
        <v>2</v>
      </c>
      <c r="X241" t="n">
        <v>3</v>
      </c>
      <c r="Y241" t="n">
        <v>4</v>
      </c>
    </row>
    <row r="242">
      <c r="A242" t="inlineStr">
        <is>
          <t>Witch|1</t>
        </is>
      </c>
      <c r="B242" t="inlineStr">
        <is>
          <t>Witch</t>
        </is>
      </c>
      <c r="C242" t="n">
        <v>1</v>
      </c>
      <c r="D242" t="inlineStr">
        <is>
          <t>Rogue</t>
        </is>
      </c>
      <c r="E242" t="inlineStr">
        <is>
          <t>Dabbler</t>
        </is>
      </c>
      <c r="F242" t="inlineStr">
        <is>
          <t>Brass 3</t>
        </is>
      </c>
      <c r="G242" t="inlineStr">
        <is>
          <t>Bribery, Channelling (Magick), Charm, Cool, Gossip, Heal, Language (Magick), Perception, Research, Stealth (Rural or Urban)</t>
        </is>
      </c>
      <c r="H242" t="inlineStr">
        <is>
          <t>Instinctive Diction, Petty Magic, Read/Write, Second Sight</t>
        </is>
      </c>
      <c r="I242" t="inlineStr">
        <is>
          <t>Notes Stuffed in Locked Drawer, Writing Kit</t>
        </is>
      </c>
      <c r="J242" t="inlineStr">
        <is>
          <t>|Bribery|Channelling (Magick)|Charm|Cool|Gossip|Heal|Language (Magick)|Perception|Research|Stealth (Rural)|Stealth (Urban)|</t>
        </is>
      </c>
      <c r="K242" t="inlineStr">
        <is>
          <t>|Instinctive Diction|Petty Magic|Read/Write|Second Sight|</t>
        </is>
      </c>
      <c r="L242" t="inlineStr">
        <is>
          <t>You strive to master magic on your own terms, heedless of the Empire's laws concerning sorcery.</t>
        </is>
      </c>
      <c r="M242" t="inlineStr">
        <is>
          <t>Language (Magick)</t>
        </is>
      </c>
      <c r="N242" t="inlineStr">
        <is>
          <t>Human</t>
        </is>
      </c>
      <c r="O242" t="n">
        <v>105</v>
      </c>
      <c r="P242" t="n">
        <v>3</v>
      </c>
      <c r="S242" t="n">
        <v>4</v>
      </c>
      <c r="T242" t="n">
        <v>1</v>
      </c>
      <c r="W242" t="n">
        <v>1</v>
      </c>
      <c r="X242" t="n">
        <v>1</v>
      </c>
      <c r="Y242" t="n">
        <v>2</v>
      </c>
    </row>
    <row r="243">
      <c r="A243" t="inlineStr">
        <is>
          <t>Witch|2</t>
        </is>
      </c>
      <c r="B243" t="inlineStr">
        <is>
          <t>Witch</t>
        </is>
      </c>
      <c r="C243" t="n">
        <v>2</v>
      </c>
      <c r="D243" t="inlineStr">
        <is>
          <t>Rogue</t>
        </is>
      </c>
      <c r="E243" t="inlineStr">
        <is>
          <t>Witch</t>
        </is>
      </c>
      <c r="F243" t="inlineStr">
        <is>
          <t>Silver 2</t>
        </is>
      </c>
      <c r="G243" t="inlineStr">
        <is>
          <t>Channelling (Dhar), Endurance, Evaluate, Intimidate, Melee (Basic or Polearm), Secret Signs (Any One)</t>
        </is>
      </c>
      <c r="H243" t="inlineStr">
        <is>
          <t>Arcane Magic (Witchcraft), Attractive, Criminal, Witch!</t>
        </is>
      </c>
      <c r="I243" t="inlineStr">
        <is>
          <t>Grimoire, Hand Weapon or Quarterstaff</t>
        </is>
      </c>
      <c r="J243" t="inlineStr">
        <is>
          <t>|Bribery|Channelling (Magick)|Charm|Cool|Gossip|Heal|Language (Magick)|Perception|Research|Stealth (Rural)|Stealth (Urban)|Channelling (Dhar)|Endurance|Evaluate|Intimidate|Melee (Basic)|Melee (Polearm)|Secret Signs (any)|</t>
        </is>
      </c>
      <c r="K243" t="inlineStr">
        <is>
          <t>|Instinctive Diction|Petty Magic|Read/Write|Second Sight|Arcane Magic (Witchcraft)|Attractive|Criminal|Witch!|</t>
        </is>
      </c>
      <c r="L243" t="inlineStr">
        <is>
          <t>You strive to master magic on your own terms, heedless of the Empire's laws concerning sorcery.</t>
        </is>
      </c>
      <c r="M243" t="inlineStr">
        <is>
          <t>Language (Magick)</t>
        </is>
      </c>
      <c r="N243" t="inlineStr">
        <is>
          <t>Human</t>
        </is>
      </c>
      <c r="O243" t="n">
        <v>105</v>
      </c>
      <c r="P243" t="n">
        <v>3</v>
      </c>
      <c r="S243" t="n">
        <v>4</v>
      </c>
      <c r="T243" t="n">
        <v>1</v>
      </c>
      <c r="W243" t="n">
        <v>1</v>
      </c>
      <c r="X243" t="n">
        <v>1</v>
      </c>
      <c r="Y243" t="n">
        <v>2</v>
      </c>
    </row>
    <row r="244">
      <c r="A244" t="inlineStr">
        <is>
          <t>Witch|3</t>
        </is>
      </c>
      <c r="B244" t="inlineStr">
        <is>
          <t>Witch</t>
        </is>
      </c>
      <c r="C244" t="n">
        <v>3</v>
      </c>
      <c r="D244" t="inlineStr">
        <is>
          <t>Rogue</t>
        </is>
      </c>
      <c r="E244" t="inlineStr">
        <is>
          <t>Enchanter</t>
        </is>
      </c>
      <c r="F244" t="inlineStr">
        <is>
          <t>Silver 5</t>
        </is>
      </c>
      <c r="G244" t="inlineStr">
        <is>
          <t>Leadership, Lore (Any One), Lore (Magic), Ride (Horse)</t>
        </is>
      </c>
      <c r="H244" t="inlineStr">
        <is>
          <t>Aethyric Attunement, Magical Sense, Menacing</t>
        </is>
      </c>
      <c r="I244" t="inlineStr">
        <is>
          <t>Assistant, Enchanted Staff, Tomes of Forbidden Knowledge</t>
        </is>
      </c>
      <c r="J244" t="inlineStr">
        <is>
          <t>|Bribery|Channelling (Magick)|Charm|Cool|Gossip|Heal|Language (Magick)|Perception|Research|Stealth (Rural)|Stealth (Urban)|Channelling (Dhar)|Endurance|Evaluate|Intimidate|Melee (Basic)|Melee (Polearm)|Secret Signs (any)|Leadership|Lore (any)|Lore (Magic)|Ride (Horse)|</t>
        </is>
      </c>
      <c r="K244" t="inlineStr">
        <is>
          <t>|Instinctive Diction|Petty Magic|Read/Write|Second Sight|Arcane Magic (Witchcraft)|Attractive|Criminal|Witch!|Aethyric Attunement|Magical Sense|Menacing|</t>
        </is>
      </c>
      <c r="L244" t="inlineStr">
        <is>
          <t>You strive to master magic on your own terms, heedless of the Empire's laws concerning sorcery.</t>
        </is>
      </c>
      <c r="M244" t="inlineStr">
        <is>
          <t>Language (Magick)</t>
        </is>
      </c>
      <c r="N244" t="inlineStr">
        <is>
          <t>Human</t>
        </is>
      </c>
      <c r="O244" t="n">
        <v>105</v>
      </c>
      <c r="P244" t="n">
        <v>3</v>
      </c>
      <c r="S244" t="n">
        <v>4</v>
      </c>
      <c r="T244" t="n">
        <v>1</v>
      </c>
      <c r="W244" t="n">
        <v>1</v>
      </c>
      <c r="X244" t="n">
        <v>1</v>
      </c>
      <c r="Y244" t="n">
        <v>2</v>
      </c>
    </row>
    <row r="245">
      <c r="A245" t="inlineStr">
        <is>
          <t>Witch|4</t>
        </is>
      </c>
      <c r="B245" t="inlineStr">
        <is>
          <t>Witch</t>
        </is>
      </c>
      <c r="C245" t="n">
        <v>4</v>
      </c>
      <c r="D245" t="inlineStr">
        <is>
          <t>Rogue</t>
        </is>
      </c>
      <c r="E245" t="inlineStr">
        <is>
          <t>Warlock</t>
        </is>
      </c>
      <c r="F245" t="inlineStr">
        <is>
          <t>Gold 2</t>
        </is>
      </c>
      <c r="G245" t="inlineStr">
        <is>
          <t>Dodge, Entertain (Speeches)</t>
        </is>
      </c>
      <c r="H245" t="inlineStr">
        <is>
          <t>Briber, Frightening, Iron Will, Kingpin</t>
        </is>
      </c>
      <c r="I245" t="inlineStr">
        <is>
          <t>Minions, Library (Magic), Remote Lair</t>
        </is>
      </c>
      <c r="J245" t="inlineStr">
        <is>
          <t>|Bribery|Channelling (Magick)|Charm|Cool|Gossip|Heal|Language (Magick)|Perception|Research|Stealth (Rural)|Stealth (Urban)|Channelling (Dhar)|Endurance|Evaluate|Intimidate|Melee (Basic)|Melee (Polearm)|Secret Signs (any)|Leadership|Lore (any)|Lore (Magic)|Ride (Horse)|Dodge|Entertain (Speeches)|</t>
        </is>
      </c>
      <c r="K245" t="inlineStr">
        <is>
          <t>|Instinctive Diction|Petty Magic|Read/Write|Second Sight|Arcane Magic (Witchcraft)|Attractive|Criminal|Witch!|Aethyric Attunement|Magical Sense|Menacing|Briber|Frightening|Iron Will|Kingpin|</t>
        </is>
      </c>
      <c r="L245" t="inlineStr">
        <is>
          <t>You strive to master magic on your own terms, heedless of the Empire's laws concerning sorcery.</t>
        </is>
      </c>
      <c r="M245" t="inlineStr">
        <is>
          <t>Language (Magick)</t>
        </is>
      </c>
      <c r="N245" t="inlineStr">
        <is>
          <t>Human</t>
        </is>
      </c>
      <c r="O245" t="n">
        <v>105</v>
      </c>
      <c r="P245" t="n">
        <v>3</v>
      </c>
      <c r="S245" t="n">
        <v>4</v>
      </c>
      <c r="T245" t="n">
        <v>1</v>
      </c>
      <c r="W245" t="n">
        <v>1</v>
      </c>
      <c r="X245" t="n">
        <v>1</v>
      </c>
      <c r="Y245" t="n">
        <v>2</v>
      </c>
    </row>
    <row r="246">
      <c r="A246" t="inlineStr">
        <is>
          <t>Witch Hunter|1</t>
        </is>
      </c>
      <c r="B246" t="inlineStr">
        <is>
          <t>Witch Hunter</t>
        </is>
      </c>
      <c r="C246" t="n">
        <v>1</v>
      </c>
      <c r="D246" t="inlineStr">
        <is>
          <t>Ranger</t>
        </is>
      </c>
      <c r="E246" t="inlineStr">
        <is>
          <t>Interrogator</t>
        </is>
      </c>
      <c r="F246" t="inlineStr">
        <is>
          <t>Silver 1</t>
        </is>
      </c>
      <c r="G246" t="inlineStr">
        <is>
          <t>Athletics, Cool, Dodge, Gossip, Heal, Intimidate, Intuition, Lore (Witches), Melee (Brawling), Perception</t>
        </is>
      </c>
      <c r="H246" t="inlineStr">
        <is>
          <t>Coolheaded, Menacing, Read/Write, Strike to Stun</t>
        </is>
      </c>
      <c r="I246" t="inlineStr">
        <is>
          <t>Hand Weapon, Instruments of Torture</t>
        </is>
      </c>
      <c r="J246" t="inlineStr">
        <is>
          <t>|Athletics|Cool|Dodge|Gossip|Heal|Intimidate|Intuition|Lore (Witches)|Melee (Brawling)|Perception|</t>
        </is>
      </c>
      <c r="K246" t="inlineStr">
        <is>
          <t>|Coolheaded|Menacing|Read/Write|Strike to Stun|</t>
        </is>
      </c>
      <c r="L246" t="inlineStr">
        <is>
          <t>You hunt witches and those who give succour to forces of darkness — then destroy them by any means necessary.</t>
        </is>
      </c>
      <c r="M246" t="inlineStr">
        <is>
          <t>Intimidate</t>
        </is>
      </c>
      <c r="N246" t="inlineStr">
        <is>
          <t>Human</t>
        </is>
      </c>
      <c r="O246" t="n">
        <v>106</v>
      </c>
      <c r="P246" t="n">
        <v>1</v>
      </c>
      <c r="Q246" t="n">
        <v>2</v>
      </c>
      <c r="S246" t="n">
        <v>3</v>
      </c>
      <c r="T246" t="n">
        <v>1</v>
      </c>
      <c r="W246" t="n">
        <v>4</v>
      </c>
      <c r="X246" t="n">
        <v>1</v>
      </c>
    </row>
    <row r="247">
      <c r="A247" t="inlineStr">
        <is>
          <t>Witch Hunter|2</t>
        </is>
      </c>
      <c r="B247" t="inlineStr">
        <is>
          <t>Witch Hunter</t>
        </is>
      </c>
      <c r="C247" t="n">
        <v>2</v>
      </c>
      <c r="D247" t="inlineStr">
        <is>
          <t>Ranger</t>
        </is>
      </c>
      <c r="E247" t="inlineStr">
        <is>
          <t>Witch Hunter</t>
        </is>
      </c>
      <c r="F247" t="inlineStr">
        <is>
          <t>Silver 3</t>
        </is>
      </c>
      <c r="G247" t="inlineStr">
        <is>
          <t>Entertain (Speeches), Melee (Basic or Fencing), Ranged (Blackpowder or Crossbow), Ride (Horse), Secret Signs (Any One), Stealth (Urban)</t>
        </is>
      </c>
      <c r="H247" t="inlineStr">
        <is>
          <t>Combat Reflexes, Dual Wielder, Nose for Trouble, Shadow</t>
        </is>
      </c>
      <c r="I247" t="inlineStr">
        <is>
          <t>Pistol with 10 Shots, Hat, Leather Jack, Riding Horse, Rapier or Silvered Sword, Rope</t>
        </is>
      </c>
      <c r="J247" t="inlineStr">
        <is>
          <t>|Athletics|Cool|Dodge|Gossip|Heal|Intimidate|Intuition|Lore (Witches)|Melee (Brawling)|Perception|Entertain (Speeches)|Melee (Basic)|Melee (Fencing)|Ranged (Blackpowder)|Ranged (Crossbow)|Ride (Horse)|Secret Signs (any)|Stealth (Urban)|</t>
        </is>
      </c>
      <c r="K247" t="inlineStr">
        <is>
          <t>|Coolheaded|Menacing|Read/Write|Strike to Stun|Combat Reflexes|Dual Wielder|Nose for Trouble|Shadow|</t>
        </is>
      </c>
      <c r="L247" t="inlineStr">
        <is>
          <t>You hunt witches and those who give succour to forces of darkness — then destroy them by any means necessary.</t>
        </is>
      </c>
      <c r="M247" t="inlineStr">
        <is>
          <t>Intimidate</t>
        </is>
      </c>
      <c r="N247" t="inlineStr">
        <is>
          <t>Human</t>
        </is>
      </c>
      <c r="O247" t="n">
        <v>106</v>
      </c>
      <c r="P247" t="n">
        <v>1</v>
      </c>
      <c r="Q247" t="n">
        <v>2</v>
      </c>
      <c r="S247" t="n">
        <v>3</v>
      </c>
      <c r="T247" t="n">
        <v>1</v>
      </c>
      <c r="W247" t="n">
        <v>4</v>
      </c>
      <c r="X247" t="n">
        <v>1</v>
      </c>
    </row>
    <row r="248">
      <c r="A248" t="inlineStr">
        <is>
          <t>Witch Hunter|3</t>
        </is>
      </c>
      <c r="B248" t="inlineStr">
        <is>
          <t>Witch Hunter</t>
        </is>
      </c>
      <c r="C248" t="n">
        <v>3</v>
      </c>
      <c r="D248" t="inlineStr">
        <is>
          <t>Ranger</t>
        </is>
      </c>
      <c r="E248" t="inlineStr">
        <is>
          <t>Witch Hunter Captain</t>
        </is>
      </c>
      <c r="F248" t="inlineStr">
        <is>
          <t>Gold 1</t>
        </is>
      </c>
      <c r="G248" t="inlineStr">
        <is>
          <t>Charm, Endurance, Leadership, Lore (Law)</t>
        </is>
      </c>
      <c r="H248" t="inlineStr">
        <is>
          <t>Fearless (Witches), Relentless, Seasoned Traveller, Strong-minded</t>
        </is>
      </c>
      <c r="I248" t="inlineStr">
        <is>
          <t>Quality Clothing, Subordinate Interrogators</t>
        </is>
      </c>
      <c r="J248" t="inlineStr">
        <is>
          <t>|Athletics|Cool|Dodge|Gossip|Heal|Intimidate|Intuition|Lore (Witches)|Melee (Brawling)|Perception|Entertain (Speeches)|Melee (Basic)|Melee (Fencing)|Ranged (Blackpowder)|Ranged (Crossbow)|Ride (Horse)|Secret Signs (any)|Stealth (Urban)|Charm|Endurance|Leadership|Lore (Law)|</t>
        </is>
      </c>
      <c r="K248" t="inlineStr">
        <is>
          <t>|Coolheaded|Menacing|Read/Write|Strike to Stun|Combat Reflexes|Dual Wielder|Nose for Trouble|Shadow|Fearless (Witches)|Relentless|Seasoned Traveller|Strong-minded|</t>
        </is>
      </c>
      <c r="L248" t="inlineStr">
        <is>
          <t>You hunt witches and those who give succour to forces of darkness — then destroy them by any means necessary.</t>
        </is>
      </c>
      <c r="M248" t="inlineStr">
        <is>
          <t>Intimidate</t>
        </is>
      </c>
      <c r="N248" t="inlineStr">
        <is>
          <t>Human</t>
        </is>
      </c>
      <c r="O248" t="n">
        <v>106</v>
      </c>
      <c r="P248" t="n">
        <v>1</v>
      </c>
      <c r="Q248" t="n">
        <v>2</v>
      </c>
      <c r="S248" t="n">
        <v>3</v>
      </c>
      <c r="T248" t="n">
        <v>1</v>
      </c>
      <c r="W248" t="n">
        <v>4</v>
      </c>
      <c r="X248" t="n">
        <v>1</v>
      </c>
    </row>
    <row r="249">
      <c r="A249" t="inlineStr">
        <is>
          <t>Witch Hunter|4</t>
        </is>
      </c>
      <c r="B249" t="inlineStr">
        <is>
          <t>Witch Hunter</t>
        </is>
      </c>
      <c r="C249" t="n">
        <v>4</v>
      </c>
      <c r="D249" t="inlineStr">
        <is>
          <t>Ranger</t>
        </is>
      </c>
      <c r="E249" t="inlineStr">
        <is>
          <t>Witchfinder General</t>
        </is>
      </c>
      <c r="F249" t="inlineStr">
        <is>
          <t>Gold 2</t>
        </is>
      </c>
      <c r="G249" t="inlineStr">
        <is>
          <t>Lore (Chaos), Lore (Politics)</t>
        </is>
      </c>
      <c r="H249" t="inlineStr">
        <is>
          <t>Frightening, Iron Will, Magic Resistance, Pure Soul</t>
        </is>
      </c>
      <c r="I249" t="inlineStr">
        <is>
          <t>Quality Courtly Garb, Subordinate Witch Hunters</t>
        </is>
      </c>
      <c r="J249" t="inlineStr">
        <is>
          <t>|Athletics|Cool|Dodge|Gossip|Heal|Intimidate|Intuition|Lore (Witches)|Melee (Brawling)|Perception|Entertain (Speeches)|Melee (Basic)|Melee (Fencing)|Ranged (Blackpowder)|Ranged (Crossbow)|Ride (Horse)|Secret Signs (any)|Stealth (Urban)|Charm|Endurance|Leadership|Lore (Law)|Lore (Chaos)|Lore (Politics)|</t>
        </is>
      </c>
      <c r="K249" t="inlineStr">
        <is>
          <t>|Coolheaded|Menacing|Read/Write|Strike to Stun|Combat Reflexes|Dual Wielder|Nose for Trouble|Shadow|Fearless (Witches)|Relentless|Seasoned Traveller|Strong-minded|Frightening|Iron Will|Magic Resistance|Pure Soul|</t>
        </is>
      </c>
      <c r="L249" t="inlineStr">
        <is>
          <t>You hunt witches and those who give succour to forces of darkness — then destroy them by any means necessary.</t>
        </is>
      </c>
      <c r="M249" t="inlineStr">
        <is>
          <t>Intimidate</t>
        </is>
      </c>
      <c r="N249" t="inlineStr">
        <is>
          <t>Human</t>
        </is>
      </c>
      <c r="O249" t="n">
        <v>106</v>
      </c>
      <c r="P249" t="n">
        <v>1</v>
      </c>
      <c r="Q249" t="n">
        <v>2</v>
      </c>
      <c r="S249" t="n">
        <v>3</v>
      </c>
      <c r="T249" t="n">
        <v>1</v>
      </c>
      <c r="W249" t="n">
        <v>4</v>
      </c>
      <c r="X249" t="n">
        <v>1</v>
      </c>
    </row>
    <row r="250">
      <c r="A250" t="inlineStr">
        <is>
          <t>Wizard|1</t>
        </is>
      </c>
      <c r="B250" t="inlineStr">
        <is>
          <t>Wizard</t>
        </is>
      </c>
      <c r="C250" t="n">
        <v>1</v>
      </c>
      <c r="D250" t="inlineStr">
        <is>
          <t>Academic</t>
        </is>
      </c>
      <c r="E250" t="inlineStr">
        <is>
          <t>Wizard's Apprentice</t>
        </is>
      </c>
      <c r="F250" t="inlineStr">
        <is>
          <t>Brass 3</t>
        </is>
      </c>
      <c r="G250" t="inlineStr">
        <is>
          <t>Channelling (Any Colour), Cool, Gossip, Language (Classical), Language (Magick), Lore (Any One), Lore (Magic), Melee (Polearm), Perception, Research</t>
        </is>
      </c>
      <c r="H250" t="inlineStr">
        <is>
          <t>Aethyric Attunement, Petty Magic, Read/Write, Second Sight</t>
        </is>
      </c>
      <c r="I250" t="inlineStr">
        <is>
          <t>Grimoire, Quarterstaff</t>
        </is>
      </c>
      <c r="J250" t="inlineStr">
        <is>
          <t>|Channelling (any)|Cool|Gossip|Language (Classical)|Language (Magick)|Lore (any)|Lore (Magic)|Melee (Polearm)|Perception|Research|</t>
        </is>
      </c>
      <c r="K250" t="inlineStr">
        <is>
          <t>|Aethyric Attunement|Petty Magic|Read/Write|Second Sight|</t>
        </is>
      </c>
      <c r="L250" t="inlineStr">
        <is>
          <t>Feared and distrusted by ordinary citizens, you are permitted to wield powerful and dangerous magic for the Empire.</t>
        </is>
      </c>
      <c r="M250" t="inlineStr">
        <is>
          <t>Language (Magick)</t>
        </is>
      </c>
      <c r="N250" t="inlineStr">
        <is>
          <t>High Elf, Human, Wood Elf</t>
        </is>
      </c>
      <c r="O250" t="n">
        <v>107</v>
      </c>
      <c r="P250" t="n">
        <v>2</v>
      </c>
      <c r="T250" t="n">
        <v>1</v>
      </c>
      <c r="U250" t="n">
        <v>3</v>
      </c>
      <c r="V250" t="n">
        <v>4</v>
      </c>
      <c r="W250" t="n">
        <v>1</v>
      </c>
      <c r="X250" t="n">
        <v>1</v>
      </c>
    </row>
    <row r="251">
      <c r="A251" t="inlineStr">
        <is>
          <t>Wizard|2</t>
        </is>
      </c>
      <c r="B251" t="inlineStr">
        <is>
          <t>Wizard</t>
        </is>
      </c>
      <c r="C251" t="n">
        <v>2</v>
      </c>
      <c r="D251" t="inlineStr">
        <is>
          <t>Academic</t>
        </is>
      </c>
      <c r="E251" t="inlineStr">
        <is>
          <t>Wizard</t>
        </is>
      </c>
      <c r="F251" t="inlineStr">
        <is>
          <t>Silver 3</t>
        </is>
      </c>
      <c r="G251" t="inlineStr">
        <is>
          <t>Charm, Endurance, Evaluate, Intimidate, Intuition, Language (Battle)</t>
        </is>
      </c>
      <c r="H251" t="inlineStr">
        <is>
          <t>Arcane Magic (Any Colour Lore), Etiquette (Scholars), Seasoned Traveller, Sixth Sense</t>
        </is>
      </c>
      <c r="I251" t="inlineStr">
        <is>
          <t>Enchanted Staff, Magic Licence, Robes</t>
        </is>
      </c>
      <c r="J251" t="inlineStr">
        <is>
          <t>|Channelling (any)|Cool|Gossip|Language (Classical)|Language (Magick)|Lore (any)|Lore (Magic)|Melee (Polearm)|Perception|Research|Charm|Endurance|Evaluate|Intimidate|Intuition|Language (Battle)|</t>
        </is>
      </c>
      <c r="K251" t="inlineStr">
        <is>
          <t>|Aethyric Attunement|Petty Magic|Read/Write|Second Sight|Arcane Magic (any)|Etiquette (Scholars)|Seasoned Traveller|Sixth Sense|</t>
        </is>
      </c>
      <c r="L251" t="inlineStr">
        <is>
          <t>Feared and distrusted by ordinary citizens, you are permitted to wield powerful and dangerous magic for the Empire.</t>
        </is>
      </c>
      <c r="M251" t="inlineStr">
        <is>
          <t>Language (Magick)</t>
        </is>
      </c>
      <c r="N251" t="inlineStr">
        <is>
          <t>High Elf, Human, Wood Elf</t>
        </is>
      </c>
      <c r="O251" t="n">
        <v>107</v>
      </c>
      <c r="P251" t="n">
        <v>2</v>
      </c>
      <c r="T251" t="n">
        <v>1</v>
      </c>
      <c r="U251" t="n">
        <v>3</v>
      </c>
      <c r="V251" t="n">
        <v>4</v>
      </c>
      <c r="W251" t="n">
        <v>1</v>
      </c>
      <c r="X251" t="n">
        <v>1</v>
      </c>
    </row>
    <row r="252">
      <c r="A252" t="inlineStr">
        <is>
          <t>Wizard|3</t>
        </is>
      </c>
      <c r="B252" t="inlineStr">
        <is>
          <t>Wizard</t>
        </is>
      </c>
      <c r="C252" t="n">
        <v>3</v>
      </c>
      <c r="D252" t="inlineStr">
        <is>
          <t>Academic</t>
        </is>
      </c>
      <c r="E252" t="inlineStr">
        <is>
          <t>Master Wizard</t>
        </is>
      </c>
      <c r="F252" t="inlineStr">
        <is>
          <t>Gold 1</t>
        </is>
      </c>
      <c r="G252" t="inlineStr">
        <is>
          <t>Animal Care, Drive or Ride (Any One), Leadership, Lore (Warfare)</t>
        </is>
      </c>
      <c r="H252" t="inlineStr">
        <is>
          <t>Craftsman (Any One), Instinctive Diction, Magical Sense, Menacing</t>
        </is>
      </c>
      <c r="I252" t="inlineStr">
        <is>
          <t>Apprentice, Light Warhorse, Magical Item</t>
        </is>
      </c>
      <c r="J252" t="inlineStr">
        <is>
          <t>|Channelling (any)|Cool|Gossip|Language (Classical)|Language (Magick)|Lore (any)|Lore (Magic)|Melee (Polearm)|Perception|Research|Charm|Endurance|Evaluate|Intimidate|Intuition|Language (Battle)|Animal Care|Drive|Ride (any)|Leadership|Lore (Warfare)|</t>
        </is>
      </c>
      <c r="K252" t="inlineStr">
        <is>
          <t>|Aethyric Attunement|Petty Magic|Read/Write|Second Sight|Arcane Magic (any)|Etiquette (Scholars)|Seasoned Traveller|Sixth Sense|Craftsman (any)|Instinctive Diction|Magical Sense|Menacing|</t>
        </is>
      </c>
      <c r="L252" t="inlineStr">
        <is>
          <t>Feared and distrusted by ordinary citizens, you are permitted to wield powerful and dangerous magic for the Empire.</t>
        </is>
      </c>
      <c r="M252" t="inlineStr">
        <is>
          <t>Language (Magick)</t>
        </is>
      </c>
      <c r="N252" t="inlineStr">
        <is>
          <t>High Elf, Human, Wood Elf</t>
        </is>
      </c>
      <c r="O252" t="n">
        <v>107</v>
      </c>
      <c r="P252" t="n">
        <v>2</v>
      </c>
      <c r="T252" t="n">
        <v>1</v>
      </c>
      <c r="U252" t="n">
        <v>3</v>
      </c>
      <c r="V252" t="n">
        <v>4</v>
      </c>
      <c r="W252" t="n">
        <v>1</v>
      </c>
      <c r="X252" t="n">
        <v>1</v>
      </c>
    </row>
    <row r="253">
      <c r="A253" t="inlineStr">
        <is>
          <t>Wizard|4</t>
        </is>
      </c>
      <c r="B253" t="inlineStr">
        <is>
          <t>Wizard</t>
        </is>
      </c>
      <c r="C253" t="n">
        <v>4</v>
      </c>
      <c r="D253" t="inlineStr">
        <is>
          <t>Academic</t>
        </is>
      </c>
      <c r="E253" t="inlineStr">
        <is>
          <t>Wizard Lord</t>
        </is>
      </c>
      <c r="F253" t="inlineStr">
        <is>
          <t>Gold 2</t>
        </is>
      </c>
      <c r="G253" t="inlineStr">
        <is>
          <t>Language (Any One), Lore (Any One)</t>
        </is>
      </c>
      <c r="H253" t="inlineStr">
        <is>
          <t>Detect Artefact, Frightening, Iron Will, War Wizard</t>
        </is>
      </c>
      <c r="I253" t="inlineStr">
        <is>
          <t>Library (Magic), Workshop (Magic)</t>
        </is>
      </c>
      <c r="J253" t="inlineStr">
        <is>
          <t>|Channelling (any)|Cool|Gossip|Language (Classical)|Language (Magick)|Lore (any)|Lore (Magic)|Melee (Polearm)|Perception|Research|Charm|Endurance|Evaluate|Intimidate|Intuition|Language (Battle)|Animal Care|Drive|Ride (any)|Leadership|Lore (Warfare)|Language (any)|</t>
        </is>
      </c>
      <c r="K253" t="inlineStr">
        <is>
          <t>|Aethyric Attunement|Petty Magic|Read/Write|Second Sight|Arcane Magic (any)|Etiquette (Scholars)|Seasoned Traveller|Sixth Sense|Craftsman (any)|Instinctive Diction|Magical Sense|Menacing|Detect Artefact|Frightening|Iron Will|War Wizard|</t>
        </is>
      </c>
      <c r="L253" t="inlineStr">
        <is>
          <t>Feared and distrusted by ordinary citizens, you are permitted to wield powerful and dangerous magic for the Empire.</t>
        </is>
      </c>
      <c r="M253" t="inlineStr">
        <is>
          <t>Language (Magick)</t>
        </is>
      </c>
      <c r="N253" t="inlineStr">
        <is>
          <t>High Elf, Human, Wood Elf</t>
        </is>
      </c>
      <c r="O253" t="n">
        <v>107</v>
      </c>
      <c r="P253" t="n">
        <v>2</v>
      </c>
      <c r="T253" t="n">
        <v>1</v>
      </c>
      <c r="U253" t="n">
        <v>3</v>
      </c>
      <c r="V253" t="n">
        <v>4</v>
      </c>
      <c r="W253" t="n">
        <v>1</v>
      </c>
      <c r="X253" t="n">
        <v>1</v>
      </c>
    </row>
    <row r="254">
      <c r="A254" t="inlineStr">
        <is>
          <t>Wrecker|1</t>
        </is>
      </c>
      <c r="B254" t="inlineStr">
        <is>
          <t>Wrecker</t>
        </is>
      </c>
      <c r="C254" t="n">
        <v>1</v>
      </c>
      <c r="D254" t="inlineStr">
        <is>
          <t>Riverfolk</t>
        </is>
      </c>
      <c r="E254" t="inlineStr">
        <is>
          <t>Cargo Scavenger</t>
        </is>
      </c>
      <c r="F254" t="inlineStr">
        <is>
          <t>Brass 2</t>
        </is>
      </c>
      <c r="G254" t="inlineStr">
        <is>
          <t>Climb, Consume Alcohol, Dodge, Endurance, Melee (Basic), Outdoor Survival, Pick Lock, Row, Stealth (Rural), Swim</t>
        </is>
      </c>
      <c r="H254" t="inlineStr">
        <is>
          <t>Break and Enter, Criminal, Flee!, Rover</t>
        </is>
      </c>
      <c r="I254" t="inlineStr">
        <is>
          <t>Crowbar, Large Sack, Leather Gloves</t>
        </is>
      </c>
      <c r="J254" t="inlineStr">
        <is>
          <t>|Climb|Consume Alcohol|Dodge|Endurance|Melee (Basic)|Outdoor Survival|Pick Lock|Row|Stealth (Rural)|Swim|</t>
        </is>
      </c>
      <c r="K254" t="inlineStr">
        <is>
          <t>|Break and Enter|Criminal|Flee!|Rover|</t>
        </is>
      </c>
      <c r="L254" t="inlineStr">
        <is>
          <t>You lure vessels to run aground and make off with their cargo.</t>
        </is>
      </c>
      <c r="M254" t="inlineStr">
        <is>
          <t>Melee (Basic)</t>
        </is>
      </c>
      <c r="N254" t="inlineStr">
        <is>
          <t>Dwarf, Halfling, Human, Wood Elf</t>
        </is>
      </c>
      <c r="O254" t="n">
        <v>108</v>
      </c>
      <c r="P254" t="n">
        <v>1</v>
      </c>
      <c r="Q254" t="n">
        <v>2</v>
      </c>
      <c r="R254" t="n">
        <v>1</v>
      </c>
      <c r="U254" t="n">
        <v>1</v>
      </c>
      <c r="X254" t="n">
        <v>3</v>
      </c>
      <c r="Y254" t="n">
        <v>4</v>
      </c>
    </row>
    <row r="255">
      <c r="A255" t="inlineStr">
        <is>
          <t>Wrecker|2</t>
        </is>
      </c>
      <c r="B255" t="inlineStr">
        <is>
          <t>Wrecker</t>
        </is>
      </c>
      <c r="C255" t="n">
        <v>2</v>
      </c>
      <c r="D255" t="inlineStr">
        <is>
          <t>Riverfolk</t>
        </is>
      </c>
      <c r="E255" t="inlineStr">
        <is>
          <t>Wrecker</t>
        </is>
      </c>
      <c r="F255" t="inlineStr">
        <is>
          <t>Brass 3</t>
        </is>
      </c>
      <c r="G255" t="inlineStr">
        <is>
          <t>Bribery, Cool, Intuition, Navigation, Perception, Set Trap</t>
        </is>
      </c>
      <c r="H255" t="inlineStr">
        <is>
          <t>Etiquette (Criminals), Night Vision, Strong Swimmer, Trapper</t>
        </is>
      </c>
      <c r="I255" t="inlineStr">
        <is>
          <t>Hand Weapon (Boat Hook), Leather Jack, Storm Lantern and Oil</t>
        </is>
      </c>
      <c r="J255" t="inlineStr">
        <is>
          <t>|Climb|Consume Alcohol|Dodge|Endurance|Melee (Basic)|Outdoor Survival|Pick Lock|Row|Stealth (Rural)|Swim|Bribery|Cool|Intuition|Navigation|Perception|Set Trap|</t>
        </is>
      </c>
      <c r="K255" t="inlineStr">
        <is>
          <t>|Break and Enter|Criminal|Flee!|Rover|Etiquette (Criminals)|Night Vision|Strong Swimmer|Trapper|</t>
        </is>
      </c>
      <c r="L255" t="inlineStr">
        <is>
          <t>You lure vessels to run aground and make off with their cargo.</t>
        </is>
      </c>
      <c r="M255" t="inlineStr">
        <is>
          <t>Melee (Basic)</t>
        </is>
      </c>
      <c r="N255" t="inlineStr">
        <is>
          <t>Dwarf, Halfling, Human, Wood Elf</t>
        </is>
      </c>
      <c r="O255" t="n">
        <v>108</v>
      </c>
      <c r="P255" t="n">
        <v>1</v>
      </c>
      <c r="Q255" t="n">
        <v>2</v>
      </c>
      <c r="R255" t="n">
        <v>1</v>
      </c>
      <c r="U255" t="n">
        <v>1</v>
      </c>
      <c r="X255" t="n">
        <v>3</v>
      </c>
      <c r="Y255" t="n">
        <v>4</v>
      </c>
    </row>
    <row r="256">
      <c r="A256" t="inlineStr">
        <is>
          <t>Wrecker|3</t>
        </is>
      </c>
      <c r="B256" t="inlineStr">
        <is>
          <t>Wrecker</t>
        </is>
      </c>
      <c r="C256" t="n">
        <v>3</v>
      </c>
      <c r="D256" t="inlineStr">
        <is>
          <t>Riverfolk</t>
        </is>
      </c>
      <c r="E256" t="inlineStr">
        <is>
          <t>River Pirate</t>
        </is>
      </c>
      <c r="F256" t="inlineStr">
        <is>
          <t>Brass 5</t>
        </is>
      </c>
      <c r="G256" t="inlineStr">
        <is>
          <t>Gossip, Intimidate, Melee (Brawling), Ranged (Crossbow or Throwing)</t>
        </is>
      </c>
      <c r="H256" t="inlineStr">
        <is>
          <t>In-fighter, Menacing, Strong Legs, Waterman</t>
        </is>
      </c>
      <c r="I256" t="inlineStr">
        <is>
          <t>Crossbow with 10 Bolts or Javelin, Grappling Hook and Rope</t>
        </is>
      </c>
      <c r="J256" t="inlineStr">
        <is>
          <t>|Climb|Consume Alcohol|Dodge|Endurance|Melee (Basic)|Outdoor Survival|Pick Lock|Row|Stealth (Rural)|Swim|Bribery|Cool|Intuition|Navigation|Perception|Set Trap|Gossip|Intimidate|Melee (Brawling)|Ranged (Crossbow)|Ranged (Throwing)|</t>
        </is>
      </c>
      <c r="K256" t="inlineStr">
        <is>
          <t>|Break and Enter|Criminal|Flee!|Rover|Etiquette (Criminals)|Night Vision|Strong Swimmer|Trapper|In-fighter|Menacing|Strong Legs|Waterman|</t>
        </is>
      </c>
      <c r="L256" t="inlineStr">
        <is>
          <t>You lure vessels to run aground and make off with their cargo.</t>
        </is>
      </c>
      <c r="M256" t="inlineStr">
        <is>
          <t>Melee (Basic)</t>
        </is>
      </c>
      <c r="N256" t="inlineStr">
        <is>
          <t>Dwarf, Halfling, Human, Wood Elf</t>
        </is>
      </c>
      <c r="O256" t="n">
        <v>108</v>
      </c>
      <c r="P256" t="n">
        <v>1</v>
      </c>
      <c r="Q256" t="n">
        <v>2</v>
      </c>
      <c r="R256" t="n">
        <v>1</v>
      </c>
      <c r="U256" t="n">
        <v>1</v>
      </c>
      <c r="X256" t="n">
        <v>3</v>
      </c>
      <c r="Y256" t="n">
        <v>4</v>
      </c>
    </row>
    <row r="257">
      <c r="A257" t="inlineStr">
        <is>
          <t>Wrecker|4</t>
        </is>
      </c>
      <c r="B257" t="inlineStr">
        <is>
          <t>Wrecker</t>
        </is>
      </c>
      <c r="C257" t="n">
        <v>4</v>
      </c>
      <c r="D257" t="inlineStr">
        <is>
          <t>Riverfolk</t>
        </is>
      </c>
      <c r="E257" t="inlineStr">
        <is>
          <t>Wrecker Captain</t>
        </is>
      </c>
      <c r="F257" t="inlineStr">
        <is>
          <t>Silver 5</t>
        </is>
      </c>
      <c r="G257" t="inlineStr">
        <is>
          <t>Leadership, Lore (Riverways)</t>
        </is>
      </c>
      <c r="H257" t="inlineStr">
        <is>
          <t>Frightening, Furious Assault, Pilot, Warrior Born</t>
        </is>
      </c>
      <c r="I257" t="inlineStr">
        <is>
          <t>Barge and Wrecker Crew, Keg of Ale, Manacles</t>
        </is>
      </c>
      <c r="J257" t="inlineStr">
        <is>
          <t>|Climb|Consume Alcohol|Dodge|Endurance|Melee (Basic)|Outdoor Survival|Pick Lock|Row|Stealth (Rural)|Swim|Bribery|Cool|Intuition|Navigation|Perception|Set Trap|Gossip|Intimidate|Melee (Brawling)|Ranged (Crossbow)|Ranged (Throwing)|Leadership|Lore (Riverways)|</t>
        </is>
      </c>
      <c r="K257" t="inlineStr">
        <is>
          <t>|Break and Enter|Criminal|Flee!|Rover|Etiquette (Criminals)|Night Vision|Strong Swimmer|Trapper|In-fighter|Menacing|Strong Legs|Waterman|Frightening|Furious Assault|Pilot|Warrior Born|</t>
        </is>
      </c>
      <c r="L257" t="inlineStr">
        <is>
          <t>You lure vessels to run aground and make off with their cargo.</t>
        </is>
      </c>
      <c r="M257" t="inlineStr">
        <is>
          <t>Melee (Basic)</t>
        </is>
      </c>
      <c r="N257" t="inlineStr">
        <is>
          <t>Dwarf, Halfling, Human, Wood Elf</t>
        </is>
      </c>
      <c r="O257" t="n">
        <v>108</v>
      </c>
      <c r="P257" t="n">
        <v>1</v>
      </c>
      <c r="Q257" t="n">
        <v>2</v>
      </c>
      <c r="R257" t="n">
        <v>1</v>
      </c>
      <c r="U257" t="n">
        <v>1</v>
      </c>
      <c r="X257" t="n">
        <v>3</v>
      </c>
      <c r="Y257" t="n">
        <v>4</v>
      </c>
    </row>
  </sheetData>
  <autoFilter ref="A1:Y257"/>
  <pageMargins left="0.75" right="0.75" top="1" bottom="1" header="0.5" footer="0.5"/>
</worksheet>
</file>

<file path=xl/worksheets/sheet10.xml><?xml version="1.0" encoding="utf-8"?>
<worksheet xmlns="http://schemas.openxmlformats.org/spreadsheetml/2006/main">
  <sheetPr>
    <tabColor rgb="00808080"/>
    <outlinePr summaryBelow="1" summaryRight="1"/>
    <pageSetUpPr/>
  </sheetPr>
  <dimension ref="A1:P261"/>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4" customWidth="1" min="3" max="3"/>
    <col width="6" customWidth="1" min="4" max="4"/>
    <col width="11" customWidth="1" min="5" max="5"/>
    <col width="8" customWidth="1" min="6" max="6"/>
    <col width="5" customWidth="1" min="7" max="7"/>
    <col width="11" customWidth="1" min="8" max="8"/>
    <col width="7" customWidth="1" min="9" max="9"/>
    <col width="13" customWidth="1" min="10" max="10"/>
    <col width="10" customWidth="1" min="11" max="11"/>
    <col width="32" customWidth="1" min="12" max="12"/>
    <col width="11" customWidth="1" min="13" max="13"/>
    <col width="5" customWidth="1" min="14" max="14"/>
    <col width="16" customWidth="1" min="15" max="15"/>
    <col width="6" customWidth="1" min="16" max="16"/>
  </cols>
  <sheetData>
    <row r="1">
      <c r="A1" s="37" t="inlineStr">
        <is>
          <t>Item</t>
        </is>
      </c>
      <c r="B1" s="37" t="inlineStr">
        <is>
          <t>Category</t>
        </is>
      </c>
      <c r="C1" s="37" t="inlineStr">
        <is>
          <t>Group</t>
        </is>
      </c>
      <c r="D1" s="37" t="inlineStr">
        <is>
          <t>Hands</t>
        </is>
      </c>
      <c r="E1" s="37" t="inlineStr">
        <is>
          <t>Price</t>
        </is>
      </c>
      <c r="F1" s="37" t="inlineStr">
        <is>
          <t>Price (pennies)</t>
        </is>
      </c>
      <c r="G1" s="37" t="inlineStr">
        <is>
          <t>Enc</t>
        </is>
      </c>
      <c r="H1" s="37" t="inlineStr">
        <is>
          <t>Availability</t>
        </is>
      </c>
      <c r="I1" s="37" t="inlineStr">
        <is>
          <t>Carries</t>
        </is>
      </c>
      <c r="J1" s="37" t="inlineStr">
        <is>
          <t>Reach / Range</t>
        </is>
      </c>
      <c r="K1" s="37" t="inlineStr">
        <is>
          <t>Damage</t>
        </is>
      </c>
      <c r="L1" s="37" t="inlineStr">
        <is>
          <t>Qualities &amp; Flaws</t>
        </is>
      </c>
      <c r="M1" s="37" t="inlineStr">
        <is>
          <t>Locations</t>
        </is>
      </c>
      <c r="N1" s="37" t="inlineStr">
        <is>
          <t>AP</t>
        </is>
      </c>
      <c r="O1" s="37" t="inlineStr">
        <is>
          <t>Penalty</t>
        </is>
      </c>
      <c r="P1" s="37" t="inlineStr">
        <is>
          <t>Page</t>
        </is>
      </c>
    </row>
    <row r="2">
      <c r="A2" t="inlineStr">
        <is>
          <t>Bastard Sword</t>
        </is>
      </c>
      <c r="B2" t="inlineStr">
        <is>
          <t>Melee weapon</t>
        </is>
      </c>
      <c r="C2" t="inlineStr">
        <is>
          <t>Two-handed</t>
        </is>
      </c>
      <c r="D2" t="inlineStr">
        <is>
          <t>2H</t>
        </is>
      </c>
      <c r="E2" t="inlineStr">
        <is>
          <t>10 GC</t>
        </is>
      </c>
      <c r="F2" t="n">
        <v>2400</v>
      </c>
      <c r="G2" t="n">
        <v>2</v>
      </c>
      <c r="H2" t="inlineStr">
        <is>
          <t>Scarce</t>
        </is>
      </c>
      <c r="J2" t="inlineStr">
        <is>
          <t>Long</t>
        </is>
      </c>
      <c r="K2" t="inlineStr">
        <is>
          <t>+SB + 5</t>
        </is>
      </c>
      <c r="L2" t="inlineStr">
        <is>
          <t>Damaging, Defensive</t>
        </is>
      </c>
      <c r="P2" t="n">
        <v>301</v>
      </c>
    </row>
    <row r="3">
      <c r="A3" t="inlineStr">
        <is>
          <t>Buckler</t>
        </is>
      </c>
      <c r="B3" t="inlineStr">
        <is>
          <t>Melee weapon</t>
        </is>
      </c>
      <c r="C3" t="inlineStr">
        <is>
          <t>Fencing</t>
        </is>
      </c>
      <c r="E3" t="inlineStr">
        <is>
          <t>1 GC</t>
        </is>
      </c>
      <c r="F3" t="n">
        <v>240</v>
      </c>
      <c r="G3" t="n">
        <v>1</v>
      </c>
      <c r="H3" t="inlineStr">
        <is>
          <t>Common</t>
        </is>
      </c>
      <c r="J3" t="inlineStr">
        <is>
          <t>Personal</t>
        </is>
      </c>
      <c r="K3" t="inlineStr">
        <is>
          <t>+SB + 1</t>
        </is>
      </c>
      <c r="L3" t="inlineStr">
        <is>
          <t>Defensive, Parry, Undamaging</t>
        </is>
      </c>
      <c r="P3" t="n">
        <v>301</v>
      </c>
    </row>
    <row r="4">
      <c r="A4" t="inlineStr">
        <is>
          <t>Cavalry Hammer</t>
        </is>
      </c>
      <c r="B4" t="inlineStr">
        <is>
          <t>Melee weapon</t>
        </is>
      </c>
      <c r="C4" t="inlineStr">
        <is>
          <t>Cavalry</t>
        </is>
      </c>
      <c r="D4" t="inlineStr">
        <is>
          <t>2H</t>
        </is>
      </c>
      <c r="E4" t="inlineStr">
        <is>
          <t>4 GC</t>
        </is>
      </c>
      <c r="F4" t="n">
        <v>960</v>
      </c>
      <c r="G4" t="n">
        <v>3</v>
      </c>
      <c r="H4" t="inlineStr">
        <is>
          <t>Rare</t>
        </is>
      </c>
      <c r="J4" t="inlineStr">
        <is>
          <t>Long</t>
        </is>
      </c>
      <c r="K4" t="inlineStr">
        <is>
          <t>+SB + 5</t>
        </is>
      </c>
      <c r="L4" t="inlineStr">
        <is>
          <t>Pummel</t>
        </is>
      </c>
      <c r="P4" t="n">
        <v>301</v>
      </c>
    </row>
    <row r="5">
      <c r="A5" t="inlineStr">
        <is>
          <t>Dagger</t>
        </is>
      </c>
      <c r="B5" t="inlineStr">
        <is>
          <t>Melee weapon</t>
        </is>
      </c>
      <c r="C5" t="inlineStr">
        <is>
          <t>Basic</t>
        </is>
      </c>
      <c r="E5" t="inlineStr">
        <is>
          <t>16/–</t>
        </is>
      </c>
      <c r="F5" t="n">
        <v>192</v>
      </c>
      <c r="G5" t="n">
        <v>0</v>
      </c>
      <c r="H5" t="inlineStr">
        <is>
          <t>Common</t>
        </is>
      </c>
      <c r="J5" t="inlineStr">
        <is>
          <t>Very Short</t>
        </is>
      </c>
      <c r="K5" t="inlineStr">
        <is>
          <t>+SB + 2</t>
        </is>
      </c>
      <c r="P5" t="n">
        <v>301</v>
      </c>
    </row>
    <row r="6">
      <c r="A6" t="inlineStr">
        <is>
          <t>Flail</t>
        </is>
      </c>
      <c r="B6" t="inlineStr">
        <is>
          <t>Melee weapon</t>
        </is>
      </c>
      <c r="C6" t="inlineStr">
        <is>
          <t>Flail</t>
        </is>
      </c>
      <c r="E6" t="inlineStr">
        <is>
          <t>2 GC</t>
        </is>
      </c>
      <c r="F6" t="n">
        <v>480</v>
      </c>
      <c r="G6" t="n">
        <v>1</v>
      </c>
      <c r="H6" t="inlineStr">
        <is>
          <t>Scarce</t>
        </is>
      </c>
      <c r="J6" t="inlineStr">
        <is>
          <t>Average</t>
        </is>
      </c>
      <c r="K6" t="inlineStr">
        <is>
          <t>+SB + 4</t>
        </is>
      </c>
      <c r="L6" t="inlineStr">
        <is>
          <t>Pummel, Wrap, Unbalanced</t>
        </is>
      </c>
      <c r="P6" t="n">
        <v>301</v>
      </c>
    </row>
    <row r="7">
      <c r="A7" t="inlineStr">
        <is>
          <t>Foil</t>
        </is>
      </c>
      <c r="B7" t="inlineStr">
        <is>
          <t>Melee weapon</t>
        </is>
      </c>
      <c r="C7" t="inlineStr">
        <is>
          <t>Fencing</t>
        </is>
      </c>
      <c r="E7" t="inlineStr">
        <is>
          <t>5 GC</t>
        </is>
      </c>
      <c r="F7" t="n">
        <v>1200</v>
      </c>
      <c r="G7" t="n">
        <v>1</v>
      </c>
      <c r="H7" t="inlineStr">
        <is>
          <t>Scarce</t>
        </is>
      </c>
      <c r="J7" t="inlineStr">
        <is>
          <t>Average</t>
        </is>
      </c>
      <c r="K7" t="inlineStr">
        <is>
          <t>+SB + 3</t>
        </is>
      </c>
      <c r="L7" t="inlineStr">
        <is>
          <t>Fast, Impale, Precise, Undamaging</t>
        </is>
      </c>
      <c r="P7" t="n">
        <v>301</v>
      </c>
    </row>
    <row r="8">
      <c r="A8" t="inlineStr">
        <is>
          <t>Garrote</t>
        </is>
      </c>
      <c r="B8" t="inlineStr">
        <is>
          <t>Melee weapon</t>
        </is>
      </c>
      <c r="C8" t="inlineStr">
        <is>
          <t>Brawling</t>
        </is>
      </c>
      <c r="D8" t="inlineStr">
        <is>
          <t>2H</t>
        </is>
      </c>
      <c r="E8" t="inlineStr">
        <is>
          <t>1/–</t>
        </is>
      </c>
      <c r="F8" t="n">
        <v>12</v>
      </c>
      <c r="G8" t="n">
        <v>0</v>
      </c>
      <c r="H8" t="inlineStr">
        <is>
          <t>Rare</t>
        </is>
      </c>
      <c r="J8" t="inlineStr">
        <is>
          <t>Personal</t>
        </is>
      </c>
      <c r="K8" t="inlineStr">
        <is>
          <t>+SB + 2</t>
        </is>
      </c>
      <c r="L8" t="inlineStr">
        <is>
          <t>Inflict (Entangled your Strength), Undamaging</t>
        </is>
      </c>
      <c r="P8" t="n">
        <v>301</v>
      </c>
    </row>
    <row r="9">
      <c r="A9" t="inlineStr">
        <is>
          <t>Grain Flail</t>
        </is>
      </c>
      <c r="B9" t="inlineStr">
        <is>
          <t>Melee weapon</t>
        </is>
      </c>
      <c r="C9" t="inlineStr">
        <is>
          <t>Flail</t>
        </is>
      </c>
      <c r="D9" t="inlineStr">
        <is>
          <t>2H</t>
        </is>
      </c>
      <c r="E9" t="inlineStr">
        <is>
          <t>5/–</t>
        </is>
      </c>
      <c r="F9" t="n">
        <v>60</v>
      </c>
      <c r="G9" t="n">
        <v>2</v>
      </c>
      <c r="H9" t="inlineStr">
        <is>
          <t>Common</t>
        </is>
      </c>
      <c r="J9" t="inlineStr">
        <is>
          <t>Long</t>
        </is>
      </c>
      <c r="K9" t="inlineStr">
        <is>
          <t>+SB + 3</t>
        </is>
      </c>
      <c r="L9" t="inlineStr">
        <is>
          <t>Pummel, Imprecise</t>
        </is>
      </c>
      <c r="P9" t="n">
        <v>301</v>
      </c>
    </row>
    <row r="10">
      <c r="A10" t="inlineStr">
        <is>
          <t>Greataxe</t>
        </is>
      </c>
      <c r="B10" t="inlineStr">
        <is>
          <t>Melee weapon</t>
        </is>
      </c>
      <c r="C10" t="inlineStr">
        <is>
          <t>Two-handed</t>
        </is>
      </c>
      <c r="D10" t="inlineStr">
        <is>
          <t>2H</t>
        </is>
      </c>
      <c r="E10" t="inlineStr">
        <is>
          <t>4 GC</t>
        </is>
      </c>
      <c r="F10" t="n">
        <v>960</v>
      </c>
      <c r="G10" t="n">
        <v>3</v>
      </c>
      <c r="H10" t="inlineStr">
        <is>
          <t>Scarce</t>
        </is>
      </c>
      <c r="J10" t="inlineStr">
        <is>
          <t>Long</t>
        </is>
      </c>
      <c r="K10" t="inlineStr">
        <is>
          <t>+SB + 6</t>
        </is>
      </c>
      <c r="L10" t="inlineStr">
        <is>
          <t>Damaging, Hack, Unbalanced</t>
        </is>
      </c>
      <c r="P10" t="n">
        <v>301</v>
      </c>
    </row>
    <row r="11">
      <c r="A11" t="inlineStr">
        <is>
          <t>Halberd</t>
        </is>
      </c>
      <c r="B11" t="inlineStr">
        <is>
          <t>Melee weapon</t>
        </is>
      </c>
      <c r="C11" t="inlineStr">
        <is>
          <t>Polearm</t>
        </is>
      </c>
      <c r="D11" t="inlineStr">
        <is>
          <t>2H</t>
        </is>
      </c>
      <c r="E11" t="inlineStr">
        <is>
          <t>2 GC</t>
        </is>
      </c>
      <c r="F11" t="n">
        <v>480</v>
      </c>
      <c r="G11" t="n">
        <v>3</v>
      </c>
      <c r="H11" t="inlineStr">
        <is>
          <t>Common</t>
        </is>
      </c>
      <c r="J11" t="inlineStr">
        <is>
          <t>Long</t>
        </is>
      </c>
      <c r="K11" t="inlineStr">
        <is>
          <t>+SB + 5</t>
        </is>
      </c>
      <c r="L11" t="inlineStr">
        <is>
          <t>Defensive, Hack, Impale</t>
        </is>
      </c>
      <c r="P11" t="n">
        <v>301</v>
      </c>
    </row>
    <row r="12">
      <c r="A12" t="inlineStr">
        <is>
          <t>Hand Weapon</t>
        </is>
      </c>
      <c r="B12" t="inlineStr">
        <is>
          <t>Melee weapon</t>
        </is>
      </c>
      <c r="C12" t="inlineStr">
        <is>
          <t>Basic</t>
        </is>
      </c>
      <c r="E12" t="inlineStr">
        <is>
          <t>2 GC</t>
        </is>
      </c>
      <c r="F12" t="n">
        <v>480</v>
      </c>
      <c r="G12" t="n">
        <v>1</v>
      </c>
      <c r="H12" t="inlineStr">
        <is>
          <t>Common</t>
        </is>
      </c>
      <c r="J12" t="inlineStr">
        <is>
          <t>Average</t>
        </is>
      </c>
      <c r="K12" t="inlineStr">
        <is>
          <t>+SB + 4</t>
        </is>
      </c>
      <c r="L12" t="inlineStr">
        <is>
          <t>Unbalanced</t>
        </is>
      </c>
      <c r="P12" t="n">
        <v>301</v>
      </c>
    </row>
    <row r="13">
      <c r="A13" t="inlineStr">
        <is>
          <t>Improvised Weapon</t>
        </is>
      </c>
      <c r="B13" t="inlineStr">
        <is>
          <t>Melee weapon</t>
        </is>
      </c>
      <c r="C13" t="inlineStr">
        <is>
          <t>Basic</t>
        </is>
      </c>
      <c r="E13" t="inlineStr">
        <is>
          <t>–</t>
        </is>
      </c>
      <c r="G13" t="n">
        <v>0</v>
      </c>
      <c r="H13" t="inlineStr">
        <is>
          <t>–</t>
        </is>
      </c>
      <c r="J13" t="inlineStr">
        <is>
          <t>Varies</t>
        </is>
      </c>
      <c r="K13" t="inlineStr">
        <is>
          <t>+SB + 1</t>
        </is>
      </c>
      <c r="L13" t="inlineStr">
        <is>
          <t>Unbalanced, Undamaging</t>
        </is>
      </c>
      <c r="P13" t="n">
        <v>301</v>
      </c>
    </row>
    <row r="14">
      <c r="A14" t="inlineStr">
        <is>
          <t>Knife</t>
        </is>
      </c>
      <c r="B14" t="inlineStr">
        <is>
          <t>Melee weapon</t>
        </is>
      </c>
      <c r="C14" t="inlineStr">
        <is>
          <t>Basic</t>
        </is>
      </c>
      <c r="E14" t="inlineStr">
        <is>
          <t>8/–</t>
        </is>
      </c>
      <c r="F14" t="n">
        <v>96</v>
      </c>
      <c r="G14" t="n">
        <v>0</v>
      </c>
      <c r="H14" t="inlineStr">
        <is>
          <t>Common</t>
        </is>
      </c>
      <c r="J14" t="inlineStr">
        <is>
          <t>Very Short</t>
        </is>
      </c>
      <c r="K14" t="inlineStr">
        <is>
          <t>+SB + 1</t>
        </is>
      </c>
      <c r="L14" t="inlineStr">
        <is>
          <t>Undamaging</t>
        </is>
      </c>
      <c r="P14" t="n">
        <v>301</v>
      </c>
    </row>
    <row r="15">
      <c r="A15" t="inlineStr">
        <is>
          <t>Knuckledusters</t>
        </is>
      </c>
      <c r="B15" t="inlineStr">
        <is>
          <t>Melee weapon</t>
        </is>
      </c>
      <c r="C15" t="inlineStr">
        <is>
          <t>Brawling</t>
        </is>
      </c>
      <c r="E15" t="inlineStr">
        <is>
          <t>2/6</t>
        </is>
      </c>
      <c r="F15" t="n">
        <v>30</v>
      </c>
      <c r="G15" t="n">
        <v>0</v>
      </c>
      <c r="H15" t="inlineStr">
        <is>
          <t>Common</t>
        </is>
      </c>
      <c r="J15" t="inlineStr">
        <is>
          <t>Personal</t>
        </is>
      </c>
      <c r="K15" t="inlineStr">
        <is>
          <t>+SB + 2</t>
        </is>
      </c>
      <c r="P15" t="n">
        <v>301</v>
      </c>
    </row>
    <row r="16">
      <c r="A16" t="inlineStr">
        <is>
          <t>Lance</t>
        </is>
      </c>
      <c r="B16" t="inlineStr">
        <is>
          <t>Melee weapon</t>
        </is>
      </c>
      <c r="C16" t="inlineStr">
        <is>
          <t>Cavalry</t>
        </is>
      </c>
      <c r="E16" t="inlineStr">
        <is>
          <t>1 GC</t>
        </is>
      </c>
      <c r="F16" t="n">
        <v>240</v>
      </c>
      <c r="G16" t="n">
        <v>3</v>
      </c>
      <c r="H16" t="inlineStr">
        <is>
          <t>Rare</t>
        </is>
      </c>
      <c r="J16" t="inlineStr">
        <is>
          <t>Very Long</t>
        </is>
      </c>
      <c r="K16" t="inlineStr">
        <is>
          <t>+SB + 6</t>
        </is>
      </c>
      <c r="L16" t="inlineStr">
        <is>
          <t>Damaging, Impale</t>
        </is>
      </c>
      <c r="P16" t="n">
        <v>301</v>
      </c>
    </row>
    <row r="17">
      <c r="A17" t="inlineStr">
        <is>
          <t>Main Gauche</t>
        </is>
      </c>
      <c r="B17" t="inlineStr">
        <is>
          <t>Melee weapon</t>
        </is>
      </c>
      <c r="C17" t="inlineStr">
        <is>
          <t>Fencing</t>
        </is>
      </c>
      <c r="E17" t="inlineStr">
        <is>
          <t>1 GC</t>
        </is>
      </c>
      <c r="F17" t="n">
        <v>240</v>
      </c>
      <c r="G17" t="n">
        <v>0</v>
      </c>
      <c r="H17" t="inlineStr">
        <is>
          <t>Scarce</t>
        </is>
      </c>
      <c r="J17" t="inlineStr">
        <is>
          <t>Short</t>
        </is>
      </c>
      <c r="K17" t="inlineStr">
        <is>
          <t>+SB + 2</t>
        </is>
      </c>
      <c r="L17" t="inlineStr">
        <is>
          <t>Defensive, Impale, Parry</t>
        </is>
      </c>
      <c r="P17" t="n">
        <v>301</v>
      </c>
    </row>
    <row r="18">
      <c r="A18" t="inlineStr">
        <is>
          <t>Military Flail</t>
        </is>
      </c>
      <c r="B18" t="inlineStr">
        <is>
          <t>Melee weapon</t>
        </is>
      </c>
      <c r="C18" t="inlineStr">
        <is>
          <t>Flail</t>
        </is>
      </c>
      <c r="D18" t="inlineStr">
        <is>
          <t>2H</t>
        </is>
      </c>
      <c r="E18" t="inlineStr">
        <is>
          <t>3 GC</t>
        </is>
      </c>
      <c r="F18" t="n">
        <v>720</v>
      </c>
      <c r="G18" t="n">
        <v>3</v>
      </c>
      <c r="H18" t="inlineStr">
        <is>
          <t>Rare</t>
        </is>
      </c>
      <c r="J18" t="inlineStr">
        <is>
          <t>Long</t>
        </is>
      </c>
      <c r="K18" t="inlineStr">
        <is>
          <t>+SB + 5</t>
        </is>
      </c>
      <c r="L18" t="inlineStr">
        <is>
          <t>Damaging, Pummel, Wrap, Unbalanced</t>
        </is>
      </c>
      <c r="P18" t="n">
        <v>301</v>
      </c>
    </row>
    <row r="19">
      <c r="A19" t="inlineStr">
        <is>
          <t>Net</t>
        </is>
      </c>
      <c r="B19" t="inlineStr">
        <is>
          <t>Melee weapon</t>
        </is>
      </c>
      <c r="C19" t="inlineStr">
        <is>
          <t>Basic</t>
        </is>
      </c>
      <c r="E19" t="inlineStr">
        <is>
          <t>6/–</t>
        </is>
      </c>
      <c r="F19" t="n">
        <v>72</v>
      </c>
      <c r="G19" t="n">
        <v>1</v>
      </c>
      <c r="H19" t="inlineStr">
        <is>
          <t>Common</t>
        </is>
      </c>
      <c r="J19" t="inlineStr">
        <is>
          <t>Short</t>
        </is>
      </c>
      <c r="L19" t="inlineStr">
        <is>
          <t>Defensive, Inflict (Entangled 50)</t>
        </is>
      </c>
      <c r="P19" t="n">
        <v>301</v>
      </c>
    </row>
    <row r="20">
      <c r="A20" t="inlineStr">
        <is>
          <t>Pick</t>
        </is>
      </c>
      <c r="B20" t="inlineStr">
        <is>
          <t>Melee weapon</t>
        </is>
      </c>
      <c r="C20" t="inlineStr">
        <is>
          <t>Two-handed</t>
        </is>
      </c>
      <c r="D20" t="inlineStr">
        <is>
          <t>2H</t>
        </is>
      </c>
      <c r="E20" t="inlineStr">
        <is>
          <t>2 GC</t>
        </is>
      </c>
      <c r="F20" t="n">
        <v>480</v>
      </c>
      <c r="G20" t="n">
        <v>3</v>
      </c>
      <c r="H20" t="inlineStr">
        <is>
          <t>Common</t>
        </is>
      </c>
      <c r="J20" t="inlineStr">
        <is>
          <t>Long</t>
        </is>
      </c>
      <c r="K20" t="inlineStr">
        <is>
          <t>+SB + 5</t>
        </is>
      </c>
      <c r="L20" t="inlineStr">
        <is>
          <t>Damaging, Penetrating, Unbalanced</t>
        </is>
      </c>
      <c r="P20" t="n">
        <v>301</v>
      </c>
    </row>
    <row r="21">
      <c r="A21" t="inlineStr">
        <is>
          <t>Pike</t>
        </is>
      </c>
      <c r="B21" t="inlineStr">
        <is>
          <t>Melee weapon</t>
        </is>
      </c>
      <c r="C21" t="inlineStr">
        <is>
          <t>Polearm</t>
        </is>
      </c>
      <c r="D21" t="inlineStr">
        <is>
          <t>2H</t>
        </is>
      </c>
      <c r="E21" t="inlineStr">
        <is>
          <t>18/–</t>
        </is>
      </c>
      <c r="F21" t="n">
        <v>216</v>
      </c>
      <c r="G21" t="n">
        <v>4</v>
      </c>
      <c r="H21" t="inlineStr">
        <is>
          <t>Rare</t>
        </is>
      </c>
      <c r="J21" t="inlineStr">
        <is>
          <t>Massive</t>
        </is>
      </c>
      <c r="K21" t="inlineStr">
        <is>
          <t>+SB + 4</t>
        </is>
      </c>
      <c r="L21" t="inlineStr">
        <is>
          <t>Impale</t>
        </is>
      </c>
      <c r="P21" t="n">
        <v>301</v>
      </c>
    </row>
    <row r="22">
      <c r="A22" t="inlineStr">
        <is>
          <t>Quarterstaff</t>
        </is>
      </c>
      <c r="B22" t="inlineStr">
        <is>
          <t>Melee weapon</t>
        </is>
      </c>
      <c r="C22" t="inlineStr">
        <is>
          <t>Polearm</t>
        </is>
      </c>
      <c r="D22" t="inlineStr">
        <is>
          <t>2H</t>
        </is>
      </c>
      <c r="E22" t="inlineStr">
        <is>
          <t>3/–</t>
        </is>
      </c>
      <c r="F22" t="n">
        <v>36</v>
      </c>
      <c r="G22" t="n">
        <v>2</v>
      </c>
      <c r="H22" t="inlineStr">
        <is>
          <t>Common</t>
        </is>
      </c>
      <c r="J22" t="inlineStr">
        <is>
          <t>Long</t>
        </is>
      </c>
      <c r="K22" t="inlineStr">
        <is>
          <t>+SB + 3</t>
        </is>
      </c>
      <c r="L22" t="inlineStr">
        <is>
          <t>Defensive, Pummel</t>
        </is>
      </c>
      <c r="P22" t="n">
        <v>301</v>
      </c>
    </row>
    <row r="23">
      <c r="A23" t="inlineStr">
        <is>
          <t>Rapier</t>
        </is>
      </c>
      <c r="B23" t="inlineStr">
        <is>
          <t>Melee weapon</t>
        </is>
      </c>
      <c r="C23" t="inlineStr">
        <is>
          <t>Fencing</t>
        </is>
      </c>
      <c r="E23" t="inlineStr">
        <is>
          <t>5 GC</t>
        </is>
      </c>
      <c r="F23" t="n">
        <v>1200</v>
      </c>
      <c r="G23" t="n">
        <v>1</v>
      </c>
      <c r="H23" t="inlineStr">
        <is>
          <t>Scarce</t>
        </is>
      </c>
      <c r="J23" t="inlineStr">
        <is>
          <t>Long</t>
        </is>
      </c>
      <c r="K23" t="inlineStr">
        <is>
          <t>+SB + 4</t>
        </is>
      </c>
      <c r="L23" t="inlineStr">
        <is>
          <t>Fast, Impale</t>
        </is>
      </c>
      <c r="P23" t="n">
        <v>301</v>
      </c>
    </row>
    <row r="24">
      <c r="A24" t="inlineStr">
        <is>
          <t>Spear</t>
        </is>
      </c>
      <c r="B24" t="inlineStr">
        <is>
          <t>Melee weapon</t>
        </is>
      </c>
      <c r="C24" t="inlineStr">
        <is>
          <t>Polearm</t>
        </is>
      </c>
      <c r="D24" t="inlineStr">
        <is>
          <t>2H</t>
        </is>
      </c>
      <c r="E24" t="inlineStr">
        <is>
          <t>15/–</t>
        </is>
      </c>
      <c r="F24" t="n">
        <v>180</v>
      </c>
      <c r="G24" t="n">
        <v>2</v>
      </c>
      <c r="H24" t="inlineStr">
        <is>
          <t>Common</t>
        </is>
      </c>
      <c r="J24" t="inlineStr">
        <is>
          <t>Very Long</t>
        </is>
      </c>
      <c r="K24" t="inlineStr">
        <is>
          <t>+SB + 4</t>
        </is>
      </c>
      <c r="L24" t="inlineStr">
        <is>
          <t>Fast, Impale</t>
        </is>
      </c>
      <c r="P24" t="n">
        <v>301</v>
      </c>
    </row>
    <row r="25">
      <c r="A25" t="inlineStr">
        <is>
          <t>Sword</t>
        </is>
      </c>
      <c r="B25" t="inlineStr">
        <is>
          <t>Melee weapon</t>
        </is>
      </c>
      <c r="C25" t="inlineStr">
        <is>
          <t>Basic</t>
        </is>
      </c>
      <c r="E25" t="inlineStr">
        <is>
          <t>4 GC</t>
        </is>
      </c>
      <c r="F25" t="n">
        <v>960</v>
      </c>
      <c r="G25" t="n">
        <v>1</v>
      </c>
      <c r="H25" t="inlineStr">
        <is>
          <t>Common</t>
        </is>
      </c>
      <c r="J25" t="inlineStr">
        <is>
          <t>Average</t>
        </is>
      </c>
      <c r="K25" t="inlineStr">
        <is>
          <t>+SB + 4</t>
        </is>
      </c>
      <c r="P25" t="n">
        <v>301</v>
      </c>
    </row>
    <row r="26">
      <c r="A26" t="inlineStr">
        <is>
          <t>Swordbreaker</t>
        </is>
      </c>
      <c r="B26" t="inlineStr">
        <is>
          <t>Melee weapon</t>
        </is>
      </c>
      <c r="C26" t="inlineStr">
        <is>
          <t>Fencing</t>
        </is>
      </c>
      <c r="E26" t="inlineStr">
        <is>
          <t>1 GC 2/6</t>
        </is>
      </c>
      <c r="F26" t="n">
        <v>270</v>
      </c>
      <c r="G26" t="n">
        <v>0</v>
      </c>
      <c r="H26" t="inlineStr">
        <is>
          <t>Rare</t>
        </is>
      </c>
      <c r="J26" t="inlineStr">
        <is>
          <t>Short</t>
        </is>
      </c>
      <c r="K26" t="inlineStr">
        <is>
          <t>+SB + 1</t>
        </is>
      </c>
      <c r="L26" t="inlineStr">
        <is>
          <t>Defensive, Parry, Trap Blade</t>
        </is>
      </c>
      <c r="P26" t="n">
        <v>301</v>
      </c>
    </row>
    <row r="27">
      <c r="A27" t="inlineStr">
        <is>
          <t>Unarmed</t>
        </is>
      </c>
      <c r="B27" t="inlineStr">
        <is>
          <t>Melee weapon</t>
        </is>
      </c>
      <c r="C27" t="inlineStr">
        <is>
          <t>Brawling</t>
        </is>
      </c>
      <c r="E27" t="inlineStr">
        <is>
          <t>–</t>
        </is>
      </c>
      <c r="G27" t="n">
        <v>0</v>
      </c>
      <c r="H27" t="inlineStr">
        <is>
          <t>–</t>
        </is>
      </c>
      <c r="J27" t="inlineStr">
        <is>
          <t>Personal</t>
        </is>
      </c>
      <c r="K27" t="inlineStr">
        <is>
          <t>+SB</t>
        </is>
      </c>
      <c r="L27" t="inlineStr">
        <is>
          <t>Undamaging</t>
        </is>
      </c>
      <c r="P27" t="n">
        <v>301</v>
      </c>
    </row>
    <row r="28">
      <c r="A28" t="inlineStr">
        <is>
          <t>Warhammer</t>
        </is>
      </c>
      <c r="B28" t="inlineStr">
        <is>
          <t>Melee weapon</t>
        </is>
      </c>
      <c r="C28" t="inlineStr">
        <is>
          <t>Two-handed</t>
        </is>
      </c>
      <c r="D28" t="inlineStr">
        <is>
          <t>2H</t>
        </is>
      </c>
      <c r="E28" t="inlineStr">
        <is>
          <t>4 GC</t>
        </is>
      </c>
      <c r="F28" t="n">
        <v>960</v>
      </c>
      <c r="G28" t="n">
        <v>3</v>
      </c>
      <c r="H28" t="inlineStr">
        <is>
          <t>Scarce</t>
        </is>
      </c>
      <c r="J28" t="inlineStr">
        <is>
          <t>Long</t>
        </is>
      </c>
      <c r="K28" t="inlineStr">
        <is>
          <t>+SB + 6</t>
        </is>
      </c>
      <c r="L28" t="inlineStr">
        <is>
          <t>Damaging, Pummel, Unbalanced</t>
        </is>
      </c>
      <c r="P28" t="n">
        <v>301</v>
      </c>
    </row>
    <row r="29">
      <c r="A29" t="inlineStr">
        <is>
          <t>Whip</t>
        </is>
      </c>
      <c r="B29" t="inlineStr">
        <is>
          <t>Melee weapon</t>
        </is>
      </c>
      <c r="C29" t="inlineStr">
        <is>
          <t>Flail</t>
        </is>
      </c>
      <c r="E29" t="inlineStr">
        <is>
          <t>5/–</t>
        </is>
      </c>
      <c r="F29" t="n">
        <v>60</v>
      </c>
      <c r="G29" t="n">
        <v>1</v>
      </c>
      <c r="H29" t="inlineStr">
        <is>
          <t>Common</t>
        </is>
      </c>
      <c r="J29" t="inlineStr">
        <is>
          <t>Very Long</t>
        </is>
      </c>
      <c r="K29" t="inlineStr">
        <is>
          <t>+SB + 2</t>
        </is>
      </c>
      <c r="L29" t="inlineStr">
        <is>
          <t>Wrap, Unbalanced, Undamaging</t>
        </is>
      </c>
      <c r="P29" t="n">
        <v>301</v>
      </c>
    </row>
    <row r="30">
      <c r="A30" t="inlineStr">
        <is>
          <t>Zweihänder</t>
        </is>
      </c>
      <c r="B30" t="inlineStr">
        <is>
          <t>Melee weapon</t>
        </is>
      </c>
      <c r="C30" t="inlineStr">
        <is>
          <t>Two-handed</t>
        </is>
      </c>
      <c r="D30" t="inlineStr">
        <is>
          <t>2H</t>
        </is>
      </c>
      <c r="E30" t="inlineStr">
        <is>
          <t>16 GC</t>
        </is>
      </c>
      <c r="F30" t="n">
        <v>3840</v>
      </c>
      <c r="G30" t="n">
        <v>3</v>
      </c>
      <c r="H30" t="inlineStr">
        <is>
          <t>Scarce</t>
        </is>
      </c>
      <c r="J30" t="inlineStr">
        <is>
          <t>Long</t>
        </is>
      </c>
      <c r="K30" t="inlineStr">
        <is>
          <t>+SB + 5</t>
        </is>
      </c>
      <c r="L30" t="inlineStr">
        <is>
          <t>Damaging, Hack</t>
        </is>
      </c>
      <c r="P30" t="n">
        <v>301</v>
      </c>
    </row>
    <row r="31">
      <c r="A31" t="inlineStr">
        <is>
          <t>Blunderbuss</t>
        </is>
      </c>
      <c r="B31" t="inlineStr">
        <is>
          <t>Ranged weapon</t>
        </is>
      </c>
      <c r="C31" t="inlineStr">
        <is>
          <t>Blackpowder</t>
        </is>
      </c>
      <c r="D31" t="inlineStr">
        <is>
          <t>2H</t>
        </is>
      </c>
      <c r="E31" t="inlineStr">
        <is>
          <t>10 GC</t>
        </is>
      </c>
      <c r="F31" t="n">
        <v>2400</v>
      </c>
      <c r="G31" t="n">
        <v>2</v>
      </c>
      <c r="H31" t="inlineStr">
        <is>
          <t>Scarce</t>
        </is>
      </c>
      <c r="J31" t="inlineStr">
        <is>
          <t>20</t>
        </is>
      </c>
      <c r="K31" t="inlineStr">
        <is>
          <t>+8</t>
        </is>
      </c>
      <c r="L31" t="inlineStr">
        <is>
          <t>Blast 3, Dangerous, Reload 3</t>
        </is>
      </c>
      <c r="P31" t="n">
        <v>303</v>
      </c>
    </row>
    <row r="32">
      <c r="A32" t="inlineStr">
        <is>
          <t>Bolas</t>
        </is>
      </c>
      <c r="B32" t="inlineStr">
        <is>
          <t>Ranged weapon</t>
        </is>
      </c>
      <c r="C32" t="inlineStr">
        <is>
          <t>Entangling</t>
        </is>
      </c>
      <c r="E32" t="inlineStr">
        <is>
          <t>10/–</t>
        </is>
      </c>
      <c r="F32" t="n">
        <v>120</v>
      </c>
      <c r="G32" t="n">
        <v>0</v>
      </c>
      <c r="H32" t="inlineStr">
        <is>
          <t>Rare</t>
        </is>
      </c>
      <c r="J32" t="inlineStr">
        <is>
          <t>SB × 3</t>
        </is>
      </c>
      <c r="K32" t="inlineStr">
        <is>
          <t>+SB</t>
        </is>
      </c>
      <c r="L32" t="inlineStr">
        <is>
          <t>Inflict (Entangled 35), Inflict (Prone), Undamaging***</t>
        </is>
      </c>
      <c r="P32" t="n">
        <v>303</v>
      </c>
    </row>
    <row r="33">
      <c r="A33" t="inlineStr">
        <is>
          <t>Bomb</t>
        </is>
      </c>
      <c r="B33" t="inlineStr">
        <is>
          <t>Ranged weapon</t>
        </is>
      </c>
      <c r="C33" t="inlineStr">
        <is>
          <t>Explosives</t>
        </is>
      </c>
      <c r="E33" t="inlineStr">
        <is>
          <t>3 GC</t>
        </is>
      </c>
      <c r="F33" t="n">
        <v>720</v>
      </c>
      <c r="G33" t="n">
        <v>0</v>
      </c>
      <c r="H33" t="inlineStr">
        <is>
          <t>Rare</t>
        </is>
      </c>
      <c r="J33" t="inlineStr">
        <is>
          <t>SB</t>
        </is>
      </c>
      <c r="K33" t="inlineStr">
        <is>
          <t>12</t>
        </is>
      </c>
      <c r="L33" t="inlineStr">
        <is>
          <t>Blast 5, Inflict (Deafened), Dangerous</t>
        </is>
      </c>
      <c r="P33" t="n">
        <v>303</v>
      </c>
    </row>
    <row r="34">
      <c r="A34" t="inlineStr">
        <is>
          <t>Bow</t>
        </is>
      </c>
      <c r="B34" t="inlineStr">
        <is>
          <t>Ranged weapon</t>
        </is>
      </c>
      <c r="C34" t="inlineStr">
        <is>
          <t>Bow</t>
        </is>
      </c>
      <c r="D34" t="inlineStr">
        <is>
          <t>2H</t>
        </is>
      </c>
      <c r="E34" t="inlineStr">
        <is>
          <t>4 GC</t>
        </is>
      </c>
      <c r="F34" t="n">
        <v>960</v>
      </c>
      <c r="G34" t="n">
        <v>2</v>
      </c>
      <c r="H34" t="inlineStr">
        <is>
          <t>Common</t>
        </is>
      </c>
      <c r="J34" t="inlineStr">
        <is>
          <t>50</t>
        </is>
      </c>
      <c r="K34" t="inlineStr">
        <is>
          <t>+SB + 4</t>
        </is>
      </c>
      <c r="P34" t="n">
        <v>303</v>
      </c>
    </row>
    <row r="35">
      <c r="A35" t="inlineStr">
        <is>
          <t>Crossbow</t>
        </is>
      </c>
      <c r="B35" t="inlineStr">
        <is>
          <t>Ranged weapon</t>
        </is>
      </c>
      <c r="C35" t="inlineStr">
        <is>
          <t>Crossbow</t>
        </is>
      </c>
      <c r="D35" t="inlineStr">
        <is>
          <t>2H</t>
        </is>
      </c>
      <c r="E35" t="inlineStr">
        <is>
          <t>5 GC</t>
        </is>
      </c>
      <c r="F35" t="n">
        <v>1200</v>
      </c>
      <c r="G35" t="n">
        <v>2</v>
      </c>
      <c r="H35" t="inlineStr">
        <is>
          <t>Common</t>
        </is>
      </c>
      <c r="J35" t="inlineStr">
        <is>
          <t>50</t>
        </is>
      </c>
      <c r="K35" t="inlineStr">
        <is>
          <t>+9</t>
        </is>
      </c>
      <c r="L35" t="inlineStr">
        <is>
          <t>Reload 1</t>
        </is>
      </c>
      <c r="P35" t="n">
        <v>303</v>
      </c>
    </row>
    <row r="36">
      <c r="A36" t="inlineStr">
        <is>
          <t>Crossbow Pistol</t>
        </is>
      </c>
      <c r="B36" t="inlineStr">
        <is>
          <t>Ranged weapon</t>
        </is>
      </c>
      <c r="C36" t="inlineStr">
        <is>
          <t>Crossbow</t>
        </is>
      </c>
      <c r="E36" t="inlineStr">
        <is>
          <t>6 GC</t>
        </is>
      </c>
      <c r="F36" t="n">
        <v>1440</v>
      </c>
      <c r="G36" t="n">
        <v>0</v>
      </c>
      <c r="H36" t="inlineStr">
        <is>
          <t>Rare</t>
        </is>
      </c>
      <c r="J36" t="inlineStr">
        <is>
          <t>20</t>
        </is>
      </c>
      <c r="K36" t="inlineStr">
        <is>
          <t>+7</t>
        </is>
      </c>
      <c r="L36" t="inlineStr">
        <is>
          <t>Pistol, Reload 1</t>
        </is>
      </c>
      <c r="P36" t="n">
        <v>303</v>
      </c>
    </row>
    <row r="37">
      <c r="A37" t="inlineStr">
        <is>
          <t>Handgun</t>
        </is>
      </c>
      <c r="B37" t="inlineStr">
        <is>
          <t>Ranged weapon</t>
        </is>
      </c>
      <c r="C37" t="inlineStr">
        <is>
          <t>Blackpowder</t>
        </is>
      </c>
      <c r="D37" t="inlineStr">
        <is>
          <t>2H</t>
        </is>
      </c>
      <c r="E37" t="inlineStr">
        <is>
          <t>16 GC</t>
        </is>
      </c>
      <c r="F37" t="n">
        <v>3840</v>
      </c>
      <c r="G37" t="n">
        <v>2</v>
      </c>
      <c r="H37" t="inlineStr">
        <is>
          <t>Scarce</t>
        </is>
      </c>
      <c r="J37" t="inlineStr">
        <is>
          <t>40</t>
        </is>
      </c>
      <c r="K37" t="inlineStr">
        <is>
          <t>+10</t>
        </is>
      </c>
      <c r="L37" t="inlineStr">
        <is>
          <t>Reload 3</t>
        </is>
      </c>
      <c r="P37" t="n">
        <v>303</v>
      </c>
    </row>
    <row r="38">
      <c r="A38" t="inlineStr">
        <is>
          <t>Heavy Crossbow</t>
        </is>
      </c>
      <c r="B38" t="inlineStr">
        <is>
          <t>Ranged weapon</t>
        </is>
      </c>
      <c r="C38" t="inlineStr">
        <is>
          <t>Crossbow</t>
        </is>
      </c>
      <c r="D38" t="inlineStr">
        <is>
          <t>2H</t>
        </is>
      </c>
      <c r="E38" t="inlineStr">
        <is>
          <t>8 GC</t>
        </is>
      </c>
      <c r="F38" t="n">
        <v>1920</v>
      </c>
      <c r="G38" t="n">
        <v>3</v>
      </c>
      <c r="H38" t="inlineStr">
        <is>
          <t>Scarce</t>
        </is>
      </c>
      <c r="J38" t="inlineStr">
        <is>
          <t>60</t>
        </is>
      </c>
      <c r="K38" t="inlineStr">
        <is>
          <t>+10</t>
        </is>
      </c>
      <c r="L38" t="inlineStr">
        <is>
          <t>Reload 2</t>
        </is>
      </c>
      <c r="P38" t="n">
        <v>303</v>
      </c>
    </row>
    <row r="39">
      <c r="A39" t="inlineStr">
        <is>
          <t>Hochland Long Rifle</t>
        </is>
      </c>
      <c r="B39" t="inlineStr">
        <is>
          <t>Ranged weapon</t>
        </is>
      </c>
      <c r="C39" t="inlineStr">
        <is>
          <t>Engineering</t>
        </is>
      </c>
      <c r="D39" t="inlineStr">
        <is>
          <t>2H</t>
        </is>
      </c>
      <c r="E39" t="inlineStr">
        <is>
          <t>100 GC</t>
        </is>
      </c>
      <c r="F39" t="n">
        <v>24000</v>
      </c>
      <c r="G39" t="n">
        <v>3</v>
      </c>
      <c r="H39" t="inlineStr">
        <is>
          <t>Exotic</t>
        </is>
      </c>
      <c r="J39" t="inlineStr">
        <is>
          <t>100</t>
        </is>
      </c>
      <c r="K39" t="inlineStr">
        <is>
          <t>+10</t>
        </is>
      </c>
      <c r="L39" t="inlineStr">
        <is>
          <t>Precise, Reload 4</t>
        </is>
      </c>
      <c r="P39" t="n">
        <v>303</v>
      </c>
    </row>
    <row r="40">
      <c r="A40" t="inlineStr">
        <is>
          <t>Incendiary</t>
        </is>
      </c>
      <c r="B40" t="inlineStr">
        <is>
          <t>Ranged weapon</t>
        </is>
      </c>
      <c r="C40" t="inlineStr">
        <is>
          <t>Explosives</t>
        </is>
      </c>
      <c r="E40" t="inlineStr">
        <is>
          <t>1 GC</t>
        </is>
      </c>
      <c r="F40" t="n">
        <v>240</v>
      </c>
      <c r="G40" t="n">
        <v>0</v>
      </c>
      <c r="H40" t="inlineStr">
        <is>
          <t>Scarce</t>
        </is>
      </c>
      <c r="J40" t="inlineStr">
        <is>
          <t>SB</t>
        </is>
      </c>
      <c r="K40" t="inlineStr">
        <is>
          <t>8</t>
        </is>
      </c>
      <c r="L40" t="inlineStr">
        <is>
          <t>Blast 4, Inflict (Ablaze), Dangerous</t>
        </is>
      </c>
      <c r="P40" t="n">
        <v>303</v>
      </c>
    </row>
    <row r="41">
      <c r="A41" t="inlineStr">
        <is>
          <t>Javelin</t>
        </is>
      </c>
      <c r="B41" t="inlineStr">
        <is>
          <t>Ranged weapon</t>
        </is>
      </c>
      <c r="C41" t="inlineStr">
        <is>
          <t>Throwing</t>
        </is>
      </c>
      <c r="E41" t="inlineStr">
        <is>
          <t>10/6</t>
        </is>
      </c>
      <c r="F41" t="n">
        <v>126</v>
      </c>
      <c r="G41" t="n">
        <v>1</v>
      </c>
      <c r="H41" t="inlineStr">
        <is>
          <t>Scarce</t>
        </is>
      </c>
      <c r="J41" t="inlineStr">
        <is>
          <t>SB × 3</t>
        </is>
      </c>
      <c r="K41" t="inlineStr">
        <is>
          <t>+SB + 3</t>
        </is>
      </c>
      <c r="L41" t="inlineStr">
        <is>
          <t>Impale</t>
        </is>
      </c>
      <c r="P41" t="n">
        <v>303</v>
      </c>
    </row>
    <row r="42">
      <c r="A42" t="inlineStr">
        <is>
          <t>Lasso</t>
        </is>
      </c>
      <c r="B42" t="inlineStr">
        <is>
          <t>Ranged weapon</t>
        </is>
      </c>
      <c r="C42" t="inlineStr">
        <is>
          <t>Entangling</t>
        </is>
      </c>
      <c r="D42" t="inlineStr">
        <is>
          <t>2H</t>
        </is>
      </c>
      <c r="E42" t="inlineStr">
        <is>
          <t>6/–</t>
        </is>
      </c>
      <c r="F42" t="n">
        <v>72</v>
      </c>
      <c r="G42" t="n">
        <v>1</v>
      </c>
      <c r="H42" t="inlineStr">
        <is>
          <t>Common</t>
        </is>
      </c>
      <c r="J42" t="inlineStr">
        <is>
          <t>SB x 2</t>
        </is>
      </c>
      <c r="L42" t="inlineStr">
        <is>
          <t>Inflict (Entangled 45)</t>
        </is>
      </c>
      <c r="P42" t="n">
        <v>303</v>
      </c>
    </row>
    <row r="43">
      <c r="A43" t="inlineStr">
        <is>
          <t>Longbow</t>
        </is>
      </c>
      <c r="B43" t="inlineStr">
        <is>
          <t>Ranged weapon</t>
        </is>
      </c>
      <c r="C43" t="inlineStr">
        <is>
          <t>Bow</t>
        </is>
      </c>
      <c r="D43" t="inlineStr">
        <is>
          <t>2H</t>
        </is>
      </c>
      <c r="E43" t="inlineStr">
        <is>
          <t>8 GC</t>
        </is>
      </c>
      <c r="F43" t="n">
        <v>1920</v>
      </c>
      <c r="G43" t="n">
        <v>3</v>
      </c>
      <c r="H43" t="inlineStr">
        <is>
          <t>Scarce</t>
        </is>
      </c>
      <c r="J43" t="inlineStr">
        <is>
          <t>60</t>
        </is>
      </c>
      <c r="K43" t="inlineStr">
        <is>
          <t>+SB + 4</t>
        </is>
      </c>
      <c r="P43" t="n">
        <v>303</v>
      </c>
    </row>
    <row r="44">
      <c r="A44" t="inlineStr">
        <is>
          <t>Net (thrown)</t>
        </is>
      </c>
      <c r="B44" t="inlineStr">
        <is>
          <t>Ranged weapon</t>
        </is>
      </c>
      <c r="C44" t="inlineStr">
        <is>
          <t>Entangling</t>
        </is>
      </c>
      <c r="E44" t="inlineStr">
        <is>
          <t>6/–</t>
        </is>
      </c>
      <c r="F44" t="n">
        <v>72</v>
      </c>
      <c r="G44" t="n">
        <v>1</v>
      </c>
      <c r="H44" t="inlineStr">
        <is>
          <t>Common</t>
        </is>
      </c>
      <c r="J44" t="inlineStr">
        <is>
          <t>SB</t>
        </is>
      </c>
      <c r="L44" t="inlineStr">
        <is>
          <t>Inflict (Entangled 50)</t>
        </is>
      </c>
      <c r="P44" t="n">
        <v>303</v>
      </c>
    </row>
    <row r="45">
      <c r="A45" t="inlineStr">
        <is>
          <t>Pistol</t>
        </is>
      </c>
      <c r="B45" t="inlineStr">
        <is>
          <t>Ranged weapon</t>
        </is>
      </c>
      <c r="C45" t="inlineStr">
        <is>
          <t>Blackpowder</t>
        </is>
      </c>
      <c r="E45" t="inlineStr">
        <is>
          <t>20 GC</t>
        </is>
      </c>
      <c r="F45" t="n">
        <v>4800</v>
      </c>
      <c r="G45" t="n">
        <v>0</v>
      </c>
      <c r="H45" t="inlineStr">
        <is>
          <t>Rare</t>
        </is>
      </c>
      <c r="J45" t="inlineStr">
        <is>
          <t>20</t>
        </is>
      </c>
      <c r="K45" t="inlineStr">
        <is>
          <t>+9</t>
        </is>
      </c>
      <c r="L45" t="inlineStr">
        <is>
          <t>Pistol, Reload 2</t>
        </is>
      </c>
      <c r="P45" t="n">
        <v>303</v>
      </c>
    </row>
    <row r="46">
      <c r="A46" t="inlineStr">
        <is>
          <t>Repeater Handgun</t>
        </is>
      </c>
      <c r="B46" t="inlineStr">
        <is>
          <t>Ranged weapon</t>
        </is>
      </c>
      <c r="C46" t="inlineStr">
        <is>
          <t>Engineering</t>
        </is>
      </c>
      <c r="D46" t="inlineStr">
        <is>
          <t>2H</t>
        </is>
      </c>
      <c r="E46" t="inlineStr">
        <is>
          <t>50 GC</t>
        </is>
      </c>
      <c r="F46" t="n">
        <v>12000</v>
      </c>
      <c r="G46" t="n">
        <v>3</v>
      </c>
      <c r="H46" t="inlineStr">
        <is>
          <t>Rare</t>
        </is>
      </c>
      <c r="J46" t="inlineStr">
        <is>
          <t>40</t>
        </is>
      </c>
      <c r="K46" t="inlineStr">
        <is>
          <t>+10</t>
        </is>
      </c>
      <c r="L46" t="inlineStr">
        <is>
          <t>Repeater 4, Dangerous, Reload 5</t>
        </is>
      </c>
      <c r="P46" t="n">
        <v>303</v>
      </c>
    </row>
    <row r="47">
      <c r="A47" t="inlineStr">
        <is>
          <t>Repeater Pistol</t>
        </is>
      </c>
      <c r="B47" t="inlineStr">
        <is>
          <t>Ranged weapon</t>
        </is>
      </c>
      <c r="C47" t="inlineStr">
        <is>
          <t>Engineering</t>
        </is>
      </c>
      <c r="E47" t="inlineStr">
        <is>
          <t>40 GC</t>
        </is>
      </c>
      <c r="F47" t="n">
        <v>9600</v>
      </c>
      <c r="G47" t="n">
        <v>1</v>
      </c>
      <c r="H47" t="inlineStr">
        <is>
          <t>Rare</t>
        </is>
      </c>
      <c r="J47" t="inlineStr">
        <is>
          <t>20</t>
        </is>
      </c>
      <c r="K47" t="inlineStr">
        <is>
          <t>+9</t>
        </is>
      </c>
      <c r="L47" t="inlineStr">
        <is>
          <t>Pistol, Repeater 4, Dangerous, Reload 4</t>
        </is>
      </c>
      <c r="P47" t="n">
        <v>303</v>
      </c>
    </row>
    <row r="48">
      <c r="A48" t="inlineStr">
        <is>
          <t>Rock</t>
        </is>
      </c>
      <c r="B48" t="inlineStr">
        <is>
          <t>Ranged weapon</t>
        </is>
      </c>
      <c r="C48" t="inlineStr">
        <is>
          <t>Throwing</t>
        </is>
      </c>
      <c r="E48" t="inlineStr">
        <is>
          <t>–</t>
        </is>
      </c>
      <c r="G48" t="n">
        <v>0</v>
      </c>
      <c r="H48" t="inlineStr">
        <is>
          <t>–</t>
        </is>
      </c>
      <c r="J48" t="inlineStr">
        <is>
          <t>SB × 3</t>
        </is>
      </c>
      <c r="K48" t="inlineStr">
        <is>
          <t>+SB</t>
        </is>
      </c>
      <c r="L48" t="inlineStr">
        <is>
          <t>Undamaging</t>
        </is>
      </c>
      <c r="P48" t="n">
        <v>303</v>
      </c>
    </row>
    <row r="49">
      <c r="A49" t="inlineStr">
        <is>
          <t>Shortbow</t>
        </is>
      </c>
      <c r="B49" t="inlineStr">
        <is>
          <t>Ranged weapon</t>
        </is>
      </c>
      <c r="C49" t="inlineStr">
        <is>
          <t>Bow</t>
        </is>
      </c>
      <c r="D49" t="inlineStr">
        <is>
          <t>2H</t>
        </is>
      </c>
      <c r="E49" t="inlineStr">
        <is>
          <t>3 GC</t>
        </is>
      </c>
      <c r="F49" t="n">
        <v>720</v>
      </c>
      <c r="G49" t="n">
        <v>1</v>
      </c>
      <c r="H49" t="inlineStr">
        <is>
          <t>Common</t>
        </is>
      </c>
      <c r="J49" t="inlineStr">
        <is>
          <t>40</t>
        </is>
      </c>
      <c r="K49" t="inlineStr">
        <is>
          <t>+SB + 3</t>
        </is>
      </c>
      <c r="P49" t="n">
        <v>303</v>
      </c>
    </row>
    <row r="50">
      <c r="A50" t="inlineStr">
        <is>
          <t>Sling</t>
        </is>
      </c>
      <c r="B50" t="inlineStr">
        <is>
          <t>Ranged weapon</t>
        </is>
      </c>
      <c r="C50" t="inlineStr">
        <is>
          <t>Sling</t>
        </is>
      </c>
      <c r="E50" t="inlineStr">
        <is>
          <t>1/–</t>
        </is>
      </c>
      <c r="F50" t="n">
        <v>12</v>
      </c>
      <c r="G50" t="n">
        <v>0</v>
      </c>
      <c r="H50" t="inlineStr">
        <is>
          <t>Common</t>
        </is>
      </c>
      <c r="J50" t="inlineStr">
        <is>
          <t>40</t>
        </is>
      </c>
      <c r="K50" t="inlineStr">
        <is>
          <t>+6</t>
        </is>
      </c>
      <c r="P50" t="n">
        <v>303</v>
      </c>
    </row>
    <row r="51">
      <c r="A51" t="inlineStr">
        <is>
          <t>Staff Sling</t>
        </is>
      </c>
      <c r="B51" t="inlineStr">
        <is>
          <t>Ranged weapon</t>
        </is>
      </c>
      <c r="C51" t="inlineStr">
        <is>
          <t>Sling</t>
        </is>
      </c>
      <c r="D51" t="inlineStr">
        <is>
          <t>2H</t>
        </is>
      </c>
      <c r="E51" t="inlineStr">
        <is>
          <t>4/–</t>
        </is>
      </c>
      <c r="F51" t="n">
        <v>48</v>
      </c>
      <c r="G51" t="n">
        <v>2</v>
      </c>
      <c r="H51" t="inlineStr">
        <is>
          <t>Common</t>
        </is>
      </c>
      <c r="J51" t="inlineStr">
        <is>
          <t>50</t>
        </is>
      </c>
      <c r="K51" t="inlineStr">
        <is>
          <t>+7</t>
        </is>
      </c>
      <c r="P51" t="n">
        <v>303</v>
      </c>
    </row>
    <row r="52">
      <c r="A52" t="inlineStr">
        <is>
          <t>Throwing Axe</t>
        </is>
      </c>
      <c r="B52" t="inlineStr">
        <is>
          <t>Ranged weapon</t>
        </is>
      </c>
      <c r="C52" t="inlineStr">
        <is>
          <t>Throwing</t>
        </is>
      </c>
      <c r="E52" t="inlineStr">
        <is>
          <t>1 GC</t>
        </is>
      </c>
      <c r="F52" t="n">
        <v>240</v>
      </c>
      <c r="G52" t="n">
        <v>1</v>
      </c>
      <c r="H52" t="inlineStr">
        <is>
          <t>Scarce</t>
        </is>
      </c>
      <c r="J52" t="inlineStr">
        <is>
          <t>SB × 2</t>
        </is>
      </c>
      <c r="K52" t="inlineStr">
        <is>
          <t>+SB + 3</t>
        </is>
      </c>
      <c r="L52" t="inlineStr">
        <is>
          <t>Hack</t>
        </is>
      </c>
      <c r="P52" t="n">
        <v>303</v>
      </c>
    </row>
    <row r="53">
      <c r="A53" t="inlineStr">
        <is>
          <t>Throwing Knife</t>
        </is>
      </c>
      <c r="B53" t="inlineStr">
        <is>
          <t>Ranged weapon</t>
        </is>
      </c>
      <c r="C53" t="inlineStr">
        <is>
          <t>Throwing</t>
        </is>
      </c>
      <c r="E53" t="inlineStr">
        <is>
          <t>18/–</t>
        </is>
      </c>
      <c r="F53" t="n">
        <v>216</v>
      </c>
      <c r="G53" t="n">
        <v>0</v>
      </c>
      <c r="H53" t="inlineStr">
        <is>
          <t>Scarce</t>
        </is>
      </c>
      <c r="J53" t="inlineStr">
        <is>
          <t>SB × 2</t>
        </is>
      </c>
      <c r="K53" t="inlineStr">
        <is>
          <t>+SB + 2</t>
        </is>
      </c>
      <c r="P53" t="n">
        <v>303</v>
      </c>
    </row>
    <row r="54">
      <c r="A54" t="inlineStr">
        <is>
          <t>Arrow (12)</t>
        </is>
      </c>
      <c r="B54" t="inlineStr">
        <is>
          <t>Ammunition</t>
        </is>
      </c>
      <c r="C54" t="inlineStr">
        <is>
          <t>Bow</t>
        </is>
      </c>
      <c r="E54" t="inlineStr">
        <is>
          <t>5/–</t>
        </is>
      </c>
      <c r="F54" t="n">
        <v>60</v>
      </c>
      <c r="G54" t="n">
        <v>0</v>
      </c>
      <c r="H54" t="inlineStr">
        <is>
          <t>Common</t>
        </is>
      </c>
      <c r="J54" t="inlineStr">
        <is>
          <t>As weapon</t>
        </is>
      </c>
      <c r="L54" t="inlineStr">
        <is>
          <t>Impale</t>
        </is>
      </c>
      <c r="P54" t="n">
        <v>302</v>
      </c>
    </row>
    <row r="55">
      <c r="A55" t="inlineStr">
        <is>
          <t>Bolt (12)</t>
        </is>
      </c>
      <c r="B55" t="inlineStr">
        <is>
          <t>Ammunition</t>
        </is>
      </c>
      <c r="C55" t="inlineStr">
        <is>
          <t>Crossbow</t>
        </is>
      </c>
      <c r="E55" t="inlineStr">
        <is>
          <t>5/–</t>
        </is>
      </c>
      <c r="F55" t="n">
        <v>60</v>
      </c>
      <c r="G55" t="n">
        <v>0</v>
      </c>
      <c r="H55" t="inlineStr">
        <is>
          <t>Common</t>
        </is>
      </c>
      <c r="J55" t="inlineStr">
        <is>
          <t>As weapon</t>
        </is>
      </c>
      <c r="L55" t="inlineStr">
        <is>
          <t>Impale</t>
        </is>
      </c>
      <c r="P55" t="n">
        <v>302</v>
      </c>
    </row>
    <row r="56">
      <c r="A56" t="inlineStr">
        <is>
          <t>Bullet and Powder (12)</t>
        </is>
      </c>
      <c r="B56" t="inlineStr">
        <is>
          <t>Ammunition</t>
        </is>
      </c>
      <c r="C56" t="inlineStr">
        <is>
          <t>Blackpowder and engineering</t>
        </is>
      </c>
      <c r="E56" t="inlineStr">
        <is>
          <t>3/3</t>
        </is>
      </c>
      <c r="F56" t="n">
        <v>39</v>
      </c>
      <c r="G56" t="n">
        <v>0</v>
      </c>
      <c r="H56" t="inlineStr">
        <is>
          <t>Common</t>
        </is>
      </c>
      <c r="J56" t="inlineStr">
        <is>
          <t>As weapon</t>
        </is>
      </c>
      <c r="L56" t="inlineStr">
        <is>
          <t>Impale, Penetrating</t>
        </is>
      </c>
      <c r="P56" t="n">
        <v>302</v>
      </c>
    </row>
    <row r="57">
      <c r="A57" t="inlineStr">
        <is>
          <t>Elf Arrow</t>
        </is>
      </c>
      <c r="B57" t="inlineStr">
        <is>
          <t>Ammunition</t>
        </is>
      </c>
      <c r="C57" t="inlineStr">
        <is>
          <t>Bow</t>
        </is>
      </c>
      <c r="E57" t="inlineStr">
        <is>
          <t>6/–</t>
        </is>
      </c>
      <c r="F57" t="n">
        <v>72</v>
      </c>
      <c r="G57" t="n">
        <v>0</v>
      </c>
      <c r="H57" t="inlineStr">
        <is>
          <t>Exotic</t>
        </is>
      </c>
      <c r="J57" t="inlineStr">
        <is>
          <t>+10</t>
        </is>
      </c>
      <c r="L57" t="inlineStr">
        <is>
          <t>Impale</t>
        </is>
      </c>
      <c r="P57" t="n">
        <v>302</v>
      </c>
    </row>
    <row r="58">
      <c r="A58" t="inlineStr">
        <is>
          <t>Improvised Shot and Powder</t>
        </is>
      </c>
      <c r="B58" t="inlineStr">
        <is>
          <t>Ammunition</t>
        </is>
      </c>
      <c r="C58" t="inlineStr">
        <is>
          <t>Blackpowder and engineering</t>
        </is>
      </c>
      <c r="E58" t="inlineStr">
        <is>
          <t>3d</t>
        </is>
      </c>
      <c r="F58" t="n">
        <v>3</v>
      </c>
      <c r="G58" t="n">
        <v>0</v>
      </c>
      <c r="H58" t="inlineStr">
        <is>
          <t>Common</t>
        </is>
      </c>
      <c r="J58" t="inlineStr">
        <is>
          <t>Half weapon</t>
        </is>
      </c>
      <c r="K58" t="inlineStr">
        <is>
          <t>–1</t>
        </is>
      </c>
      <c r="P58" t="n">
        <v>302</v>
      </c>
    </row>
    <row r="59">
      <c r="A59" t="inlineStr">
        <is>
          <t>Lead Bullet (12)</t>
        </is>
      </c>
      <c r="B59" t="inlineStr">
        <is>
          <t>Ammunition</t>
        </is>
      </c>
      <c r="C59" t="inlineStr">
        <is>
          <t>Sling</t>
        </is>
      </c>
      <c r="E59" t="inlineStr">
        <is>
          <t>4d</t>
        </is>
      </c>
      <c r="F59" t="n">
        <v>4</v>
      </c>
      <c r="G59" t="n">
        <v>0</v>
      </c>
      <c r="H59" t="inlineStr">
        <is>
          <t>Common</t>
        </is>
      </c>
      <c r="K59" t="inlineStr">
        <is>
          <t>+1</t>
        </is>
      </c>
      <c r="L59" t="inlineStr">
        <is>
          <t>Pummel</t>
        </is>
      </c>
      <c r="P59" t="n">
        <v>302</v>
      </c>
    </row>
    <row r="60">
      <c r="A60" t="inlineStr">
        <is>
          <t>Small Shot and Powder (12)</t>
        </is>
      </c>
      <c r="B60" t="inlineStr">
        <is>
          <t>Ammunition</t>
        </is>
      </c>
      <c r="C60" t="inlineStr">
        <is>
          <t>Blackpowder and engineering</t>
        </is>
      </c>
      <c r="E60" t="inlineStr">
        <is>
          <t>3/3</t>
        </is>
      </c>
      <c r="F60" t="n">
        <v>39</v>
      </c>
      <c r="G60" t="n">
        <v>0</v>
      </c>
      <c r="H60" t="inlineStr">
        <is>
          <t>Common</t>
        </is>
      </c>
      <c r="J60" t="inlineStr">
        <is>
          <t>As weapon</t>
        </is>
      </c>
      <c r="L60" t="inlineStr">
        <is>
          <t>Blast +1</t>
        </is>
      </c>
      <c r="P60" t="n">
        <v>302</v>
      </c>
    </row>
    <row r="61">
      <c r="A61" t="inlineStr">
        <is>
          <t>Stone Bullet (12)</t>
        </is>
      </c>
      <c r="B61" t="inlineStr">
        <is>
          <t>Ammunition</t>
        </is>
      </c>
      <c r="C61" t="inlineStr">
        <is>
          <t>Sling</t>
        </is>
      </c>
      <c r="E61" t="inlineStr">
        <is>
          <t>1d</t>
        </is>
      </c>
      <c r="F61" t="n">
        <v>1</v>
      </c>
      <c r="G61" t="n">
        <v>0</v>
      </c>
      <c r="H61" t="inlineStr">
        <is>
          <t>Common</t>
        </is>
      </c>
      <c r="J61" t="inlineStr">
        <is>
          <t>As weapon</t>
        </is>
      </c>
      <c r="L61" t="inlineStr">
        <is>
          <t>Pummel</t>
        </is>
      </c>
      <c r="P61" t="n">
        <v>302</v>
      </c>
    </row>
    <row r="62">
      <c r="A62" t="inlineStr">
        <is>
          <t>Bracers</t>
        </is>
      </c>
      <c r="B62" t="inlineStr">
        <is>
          <t>Armour</t>
        </is>
      </c>
      <c r="C62" t="inlineStr">
        <is>
          <t>Plate</t>
        </is>
      </c>
      <c r="E62" t="inlineStr">
        <is>
          <t>12 GC</t>
        </is>
      </c>
      <c r="F62" t="n">
        <v>2880</v>
      </c>
      <c r="G62" t="n">
        <v>2</v>
      </c>
      <c r="H62" t="inlineStr">
        <is>
          <t>Rare</t>
        </is>
      </c>
      <c r="L62" t="inlineStr">
        <is>
          <t>Impenetrable, Weakpoints</t>
        </is>
      </c>
      <c r="M62" t="inlineStr">
        <is>
          <t>Arms</t>
        </is>
      </c>
      <c r="N62" t="n">
        <v>2</v>
      </c>
      <c r="P62" t="n">
        <v>307</v>
      </c>
    </row>
    <row r="63">
      <c r="A63" t="inlineStr">
        <is>
          <t>Breastplate</t>
        </is>
      </c>
      <c r="B63" t="inlineStr">
        <is>
          <t>Armour</t>
        </is>
      </c>
      <c r="C63" t="inlineStr">
        <is>
          <t>Plate</t>
        </is>
      </c>
      <c r="E63" t="inlineStr">
        <is>
          <t>15 GC</t>
        </is>
      </c>
      <c r="F63" t="n">
        <v>3600</v>
      </c>
      <c r="G63" t="n">
        <v>3</v>
      </c>
      <c r="H63" t="inlineStr">
        <is>
          <t>Scarce</t>
        </is>
      </c>
      <c r="L63" t="inlineStr">
        <is>
          <t>Impenetrable, Weakpoints</t>
        </is>
      </c>
      <c r="M63" t="inlineStr">
        <is>
          <t>Body</t>
        </is>
      </c>
      <c r="N63" t="n">
        <v>2</v>
      </c>
      <c r="P63" t="n">
        <v>307</v>
      </c>
    </row>
    <row r="64">
      <c r="A64" t="inlineStr">
        <is>
          <t>Buckler (shield)</t>
        </is>
      </c>
      <c r="B64" t="inlineStr">
        <is>
          <t>Armour</t>
        </is>
      </c>
      <c r="C64" t="inlineStr">
        <is>
          <t>Shields</t>
        </is>
      </c>
      <c r="E64" t="inlineStr">
        <is>
          <t>1 GC</t>
        </is>
      </c>
      <c r="F64" t="n">
        <v>240</v>
      </c>
      <c r="G64" t="n">
        <v>1</v>
      </c>
      <c r="H64" t="inlineStr">
        <is>
          <t>Common</t>
        </is>
      </c>
      <c r="L64" t="inlineStr">
        <is>
          <t>Shield</t>
        </is>
      </c>
      <c r="M64" t="inlineStr">
        <is>
          <t>Shield</t>
        </is>
      </c>
      <c r="N64" t="n">
        <v>1</v>
      </c>
      <c r="P64" t="n">
        <v>307</v>
      </c>
    </row>
    <row r="65">
      <c r="A65" t="inlineStr">
        <is>
          <t>Helm</t>
        </is>
      </c>
      <c r="B65" t="inlineStr">
        <is>
          <t>Armour</t>
        </is>
      </c>
      <c r="C65" t="inlineStr">
        <is>
          <t>Plate</t>
        </is>
      </c>
      <c r="E65" t="inlineStr">
        <is>
          <t>5 GC</t>
        </is>
      </c>
      <c r="F65" t="n">
        <v>1200</v>
      </c>
      <c r="G65" t="n">
        <v>2</v>
      </c>
      <c r="H65" t="inlineStr">
        <is>
          <t>Rare</t>
        </is>
      </c>
      <c r="L65" t="inlineStr">
        <is>
          <t>Impenetrable, Weakpoints</t>
        </is>
      </c>
      <c r="M65" t="inlineStr">
        <is>
          <t>Head</t>
        </is>
      </c>
      <c r="N65" t="n">
        <v>2</v>
      </c>
      <c r="O65" t="inlineStr">
        <is>
          <t>–2 SL Perception</t>
        </is>
      </c>
      <c r="P65" t="n">
        <v>307</v>
      </c>
    </row>
    <row r="66">
      <c r="A66" t="inlineStr">
        <is>
          <t>Large Shield</t>
        </is>
      </c>
      <c r="B66" t="inlineStr">
        <is>
          <t>Armour</t>
        </is>
      </c>
      <c r="C66" t="inlineStr">
        <is>
          <t>Shields</t>
        </is>
      </c>
      <c r="E66" t="inlineStr">
        <is>
          <t>3 GC</t>
        </is>
      </c>
      <c r="F66" t="n">
        <v>720</v>
      </c>
      <c r="G66" t="n">
        <v>3</v>
      </c>
      <c r="H66" t="inlineStr">
        <is>
          <t>Common</t>
        </is>
      </c>
      <c r="L66" t="inlineStr">
        <is>
          <t>Shield</t>
        </is>
      </c>
      <c r="M66" t="inlineStr">
        <is>
          <t>Shield</t>
        </is>
      </c>
      <c r="N66" t="n">
        <v>3</v>
      </c>
      <c r="P66" t="n">
        <v>307</v>
      </c>
    </row>
    <row r="67">
      <c r="A67" t="inlineStr">
        <is>
          <t>Leather Coif</t>
        </is>
      </c>
      <c r="B67" t="inlineStr">
        <is>
          <t>Armour</t>
        </is>
      </c>
      <c r="C67" t="inlineStr">
        <is>
          <t>Leather (or quilted or padded)</t>
        </is>
      </c>
      <c r="E67" t="inlineStr">
        <is>
          <t>2 GC</t>
        </is>
      </c>
      <c r="F67" t="n">
        <v>480</v>
      </c>
      <c r="G67" t="n">
        <v>0</v>
      </c>
      <c r="H67" t="inlineStr">
        <is>
          <t>Common</t>
        </is>
      </c>
      <c r="L67" t="inlineStr">
        <is>
          <t>Partial</t>
        </is>
      </c>
      <c r="M67" t="inlineStr">
        <is>
          <t>Head</t>
        </is>
      </c>
      <c r="N67" t="n">
        <v>1</v>
      </c>
      <c r="P67" t="n">
        <v>307</v>
      </c>
    </row>
    <row r="68">
      <c r="A68" t="inlineStr">
        <is>
          <t>Leather Jack</t>
        </is>
      </c>
      <c r="B68" t="inlineStr">
        <is>
          <t>Armour</t>
        </is>
      </c>
      <c r="C68" t="inlineStr">
        <is>
          <t>Leather (or quilted or padded)</t>
        </is>
      </c>
      <c r="E68" t="inlineStr">
        <is>
          <t>3 GC</t>
        </is>
      </c>
      <c r="F68" t="n">
        <v>720</v>
      </c>
      <c r="G68" t="n">
        <v>1</v>
      </c>
      <c r="H68" t="inlineStr">
        <is>
          <t>Common</t>
        </is>
      </c>
      <c r="M68" t="inlineStr">
        <is>
          <t>Arms, Body</t>
        </is>
      </c>
      <c r="N68" t="n">
        <v>1</v>
      </c>
      <c r="P68" t="n">
        <v>307</v>
      </c>
    </row>
    <row r="69">
      <c r="A69" t="inlineStr">
        <is>
          <t>Leather Jerkin</t>
        </is>
      </c>
      <c r="B69" t="inlineStr">
        <is>
          <t>Armour</t>
        </is>
      </c>
      <c r="C69" t="inlineStr">
        <is>
          <t>Leather (or quilted or padded)</t>
        </is>
      </c>
      <c r="E69" t="inlineStr">
        <is>
          <t>2 GC 10/–</t>
        </is>
      </c>
      <c r="F69" t="n">
        <v>600</v>
      </c>
      <c r="G69" t="n">
        <v>1</v>
      </c>
      <c r="H69" t="inlineStr">
        <is>
          <t>Common</t>
        </is>
      </c>
      <c r="M69" t="inlineStr">
        <is>
          <t>Body</t>
        </is>
      </c>
      <c r="N69" t="n">
        <v>1</v>
      </c>
      <c r="P69" t="n">
        <v>307</v>
      </c>
    </row>
    <row r="70">
      <c r="A70" t="inlineStr">
        <is>
          <t>Leather Leggings</t>
        </is>
      </c>
      <c r="B70" t="inlineStr">
        <is>
          <t>Armour</t>
        </is>
      </c>
      <c r="C70" t="inlineStr">
        <is>
          <t>Leather (or quilted or padded)</t>
        </is>
      </c>
      <c r="E70" t="inlineStr">
        <is>
          <t>3 GC</t>
        </is>
      </c>
      <c r="F70" t="n">
        <v>720</v>
      </c>
      <c r="G70" t="n">
        <v>1</v>
      </c>
      <c r="H70" t="inlineStr">
        <is>
          <t>Common</t>
        </is>
      </c>
      <c r="M70" t="inlineStr">
        <is>
          <t>Legs</t>
        </is>
      </c>
      <c r="N70" t="n">
        <v>1</v>
      </c>
      <c r="P70" t="n">
        <v>307</v>
      </c>
    </row>
    <row r="71">
      <c r="A71" t="inlineStr">
        <is>
          <t>Mail Chausses</t>
        </is>
      </c>
      <c r="B71" t="inlineStr">
        <is>
          <t>Armour</t>
        </is>
      </c>
      <c r="C71" t="inlineStr">
        <is>
          <t>Mail</t>
        </is>
      </c>
      <c r="E71" t="inlineStr">
        <is>
          <t>10 GC</t>
        </is>
      </c>
      <c r="F71" t="n">
        <v>2400</v>
      </c>
      <c r="G71" t="n">
        <v>3</v>
      </c>
      <c r="H71" t="inlineStr">
        <is>
          <t>Scarce</t>
        </is>
      </c>
      <c r="L71" t="inlineStr">
        <is>
          <t>Flexible</t>
        </is>
      </c>
      <c r="M71" t="inlineStr">
        <is>
          <t>Legs</t>
        </is>
      </c>
      <c r="N71" t="n">
        <v>2</v>
      </c>
      <c r="P71" t="n">
        <v>307</v>
      </c>
    </row>
    <row r="72">
      <c r="A72" t="inlineStr">
        <is>
          <t>Mail Coat</t>
        </is>
      </c>
      <c r="B72" t="inlineStr">
        <is>
          <t>Armour</t>
        </is>
      </c>
      <c r="C72" t="inlineStr">
        <is>
          <t>Mail</t>
        </is>
      </c>
      <c r="E72" t="inlineStr">
        <is>
          <t>20 GC</t>
        </is>
      </c>
      <c r="F72" t="n">
        <v>4800</v>
      </c>
      <c r="G72" t="n">
        <v>3</v>
      </c>
      <c r="H72" t="inlineStr">
        <is>
          <t>Scarce</t>
        </is>
      </c>
      <c r="L72" t="inlineStr">
        <is>
          <t>Flexible</t>
        </is>
      </c>
      <c r="M72" t="inlineStr">
        <is>
          <t>Arms, Body</t>
        </is>
      </c>
      <c r="N72" t="n">
        <v>2</v>
      </c>
      <c r="P72" t="n">
        <v>307</v>
      </c>
    </row>
    <row r="73">
      <c r="A73" t="inlineStr">
        <is>
          <t>Mail Coif</t>
        </is>
      </c>
      <c r="B73" t="inlineStr">
        <is>
          <t>Armour</t>
        </is>
      </c>
      <c r="C73" t="inlineStr">
        <is>
          <t>Mail</t>
        </is>
      </c>
      <c r="E73" t="inlineStr">
        <is>
          <t>6 GC</t>
        </is>
      </c>
      <c r="F73" t="n">
        <v>1440</v>
      </c>
      <c r="G73" t="n">
        <v>1</v>
      </c>
      <c r="H73" t="inlineStr">
        <is>
          <t>Scarce</t>
        </is>
      </c>
      <c r="L73" t="inlineStr">
        <is>
          <t>Flexible, Partial</t>
        </is>
      </c>
      <c r="M73" t="inlineStr">
        <is>
          <t>Head</t>
        </is>
      </c>
      <c r="N73" t="n">
        <v>2</v>
      </c>
      <c r="P73" t="n">
        <v>307</v>
      </c>
    </row>
    <row r="74">
      <c r="A74" t="inlineStr">
        <is>
          <t>Mail Shirt</t>
        </is>
      </c>
      <c r="B74" t="inlineStr">
        <is>
          <t>Armour</t>
        </is>
      </c>
      <c r="C74" t="inlineStr">
        <is>
          <t>Mail</t>
        </is>
      </c>
      <c r="E74" t="inlineStr">
        <is>
          <t>16 GC</t>
        </is>
      </c>
      <c r="F74" t="n">
        <v>3840</v>
      </c>
      <c r="G74" t="n">
        <v>2</v>
      </c>
      <c r="H74" t="inlineStr">
        <is>
          <t>Common</t>
        </is>
      </c>
      <c r="L74" t="inlineStr">
        <is>
          <t>Flexible</t>
        </is>
      </c>
      <c r="M74" t="inlineStr">
        <is>
          <t>Body</t>
        </is>
      </c>
      <c r="N74" t="n">
        <v>2</v>
      </c>
      <c r="P74" t="n">
        <v>307</v>
      </c>
    </row>
    <row r="75">
      <c r="A75" t="inlineStr">
        <is>
          <t>Open Helm</t>
        </is>
      </c>
      <c r="B75" t="inlineStr">
        <is>
          <t>Armour</t>
        </is>
      </c>
      <c r="C75" t="inlineStr">
        <is>
          <t>Plate</t>
        </is>
      </c>
      <c r="E75" t="inlineStr">
        <is>
          <t>3 GC</t>
        </is>
      </c>
      <c r="F75" t="n">
        <v>720</v>
      </c>
      <c r="G75" t="n">
        <v>1</v>
      </c>
      <c r="H75" t="inlineStr">
        <is>
          <t>Common</t>
        </is>
      </c>
      <c r="L75" t="inlineStr">
        <is>
          <t>Partial</t>
        </is>
      </c>
      <c r="M75" t="inlineStr">
        <is>
          <t>Head</t>
        </is>
      </c>
      <c r="N75" t="n">
        <v>2</v>
      </c>
      <c r="P75" t="n">
        <v>307</v>
      </c>
    </row>
    <row r="76">
      <c r="A76" t="inlineStr">
        <is>
          <t>Plate Leggings</t>
        </is>
      </c>
      <c r="B76" t="inlineStr">
        <is>
          <t>Armour</t>
        </is>
      </c>
      <c r="C76" t="inlineStr">
        <is>
          <t>Plate</t>
        </is>
      </c>
      <c r="E76" t="inlineStr">
        <is>
          <t>12 GC</t>
        </is>
      </c>
      <c r="F76" t="n">
        <v>2880</v>
      </c>
      <c r="G76" t="n">
        <v>3</v>
      </c>
      <c r="H76" t="inlineStr">
        <is>
          <t>Rare</t>
        </is>
      </c>
      <c r="L76" t="inlineStr">
        <is>
          <t>Impenetrable, Weakpoints</t>
        </is>
      </c>
      <c r="M76" t="inlineStr">
        <is>
          <t>Legs</t>
        </is>
      </c>
      <c r="N76" t="n">
        <v>2</v>
      </c>
      <c r="P76" t="n">
        <v>307</v>
      </c>
    </row>
    <row r="77">
      <c r="A77" t="inlineStr">
        <is>
          <t>Shield</t>
        </is>
      </c>
      <c r="B77" t="inlineStr">
        <is>
          <t>Armour</t>
        </is>
      </c>
      <c r="C77" t="inlineStr">
        <is>
          <t>Shields</t>
        </is>
      </c>
      <c r="E77" t="inlineStr">
        <is>
          <t>2 GC</t>
        </is>
      </c>
      <c r="F77" t="n">
        <v>480</v>
      </c>
      <c r="G77" t="n">
        <v>2</v>
      </c>
      <c r="H77" t="inlineStr">
        <is>
          <t>Common</t>
        </is>
      </c>
      <c r="L77" t="inlineStr">
        <is>
          <t>Shield</t>
        </is>
      </c>
      <c r="M77" t="inlineStr">
        <is>
          <t>Shield</t>
        </is>
      </c>
      <c r="N77" t="n">
        <v>2</v>
      </c>
      <c r="P77" t="n">
        <v>307</v>
      </c>
    </row>
    <row r="78">
      <c r="A78" t="inlineStr">
        <is>
          <t>Cart</t>
        </is>
      </c>
      <c r="B78" t="inlineStr">
        <is>
          <t>Animals and Vehicles</t>
        </is>
      </c>
      <c r="E78" t="inlineStr">
        <is>
          <t>20 GC</t>
        </is>
      </c>
      <c r="F78" t="n">
        <v>4800</v>
      </c>
      <c r="G78" t="n">
        <v>0</v>
      </c>
      <c r="H78" t="inlineStr">
        <is>
          <t>Common</t>
        </is>
      </c>
      <c r="I78" t="n">
        <v>25</v>
      </c>
      <c r="P78" t="n">
        <v>312</v>
      </c>
    </row>
    <row r="79">
      <c r="A79" t="inlineStr">
        <is>
          <t>Chicken</t>
        </is>
      </c>
      <c r="B79" t="inlineStr">
        <is>
          <t>Animals and Vehicles</t>
        </is>
      </c>
      <c r="E79" t="inlineStr">
        <is>
          <t>5d</t>
        </is>
      </c>
      <c r="F79" t="n">
        <v>5</v>
      </c>
      <c r="G79" t="n">
        <v>1</v>
      </c>
      <c r="H79" t="inlineStr">
        <is>
          <t>Common</t>
        </is>
      </c>
      <c r="I79" t="n">
        <v>0</v>
      </c>
      <c r="P79" t="n">
        <v>312</v>
      </c>
    </row>
    <row r="80">
      <c r="A80" t="inlineStr">
        <is>
          <t>Coach</t>
        </is>
      </c>
      <c r="B80" t="inlineStr">
        <is>
          <t>Animals and Vehicles</t>
        </is>
      </c>
      <c r="E80" t="inlineStr">
        <is>
          <t>150 GC</t>
        </is>
      </c>
      <c r="F80" t="n">
        <v>36000</v>
      </c>
      <c r="G80" t="n">
        <v>0</v>
      </c>
      <c r="H80" t="inlineStr">
        <is>
          <t>Rare</t>
        </is>
      </c>
      <c r="I80" t="n">
        <v>80</v>
      </c>
      <c r="P80" t="n">
        <v>312</v>
      </c>
    </row>
    <row r="81">
      <c r="A81" t="inlineStr">
        <is>
          <t>Coracle</t>
        </is>
      </c>
      <c r="B81" t="inlineStr">
        <is>
          <t>Animals and Vehicles</t>
        </is>
      </c>
      <c r="E81" t="inlineStr">
        <is>
          <t>2 GC</t>
        </is>
      </c>
      <c r="F81" t="n">
        <v>480</v>
      </c>
      <c r="G81" t="n">
        <v>6</v>
      </c>
      <c r="H81" t="inlineStr">
        <is>
          <t>Scarce</t>
        </is>
      </c>
      <c r="I81" t="n">
        <v>10</v>
      </c>
      <c r="P81" t="n">
        <v>312</v>
      </c>
    </row>
    <row r="82">
      <c r="A82" t="inlineStr">
        <is>
          <t>Destrier</t>
        </is>
      </c>
      <c r="B82" t="inlineStr">
        <is>
          <t>Animals and Vehicles</t>
        </is>
      </c>
      <c r="E82" t="inlineStr">
        <is>
          <t>600 GC</t>
        </is>
      </c>
      <c r="F82" t="n">
        <v>144000</v>
      </c>
      <c r="G82" t="n">
        <v>0</v>
      </c>
      <c r="H82" t="inlineStr">
        <is>
          <t>Scarce</t>
        </is>
      </c>
      <c r="I82" t="n">
        <v>20</v>
      </c>
      <c r="P82" t="n">
        <v>312</v>
      </c>
    </row>
    <row r="83">
      <c r="A83" t="inlineStr">
        <is>
          <t>Dog Collar</t>
        </is>
      </c>
      <c r="B83" t="inlineStr">
        <is>
          <t>Animals and Vehicles</t>
        </is>
      </c>
      <c r="E83" t="inlineStr">
        <is>
          <t>1/7</t>
        </is>
      </c>
      <c r="F83" t="n">
        <v>19</v>
      </c>
      <c r="G83" t="n">
        <v>0</v>
      </c>
      <c r="H83" t="inlineStr">
        <is>
          <t>Common</t>
        </is>
      </c>
      <c r="I83" t="n">
        <v>0</v>
      </c>
      <c r="P83" t="n">
        <v>312</v>
      </c>
    </row>
    <row r="84">
      <c r="A84" t="inlineStr">
        <is>
          <t>Draught Horse</t>
        </is>
      </c>
      <c r="B84" t="inlineStr">
        <is>
          <t>Animals and Vehicles</t>
        </is>
      </c>
      <c r="E84" t="inlineStr">
        <is>
          <t>20 GC</t>
        </is>
      </c>
      <c r="F84" t="n">
        <v>4800</v>
      </c>
      <c r="G84" t="n">
        <v>0</v>
      </c>
      <c r="H84" t="inlineStr">
        <is>
          <t>Common</t>
        </is>
      </c>
      <c r="I84" t="n">
        <v>20</v>
      </c>
      <c r="P84" t="n">
        <v>312</v>
      </c>
    </row>
    <row r="85">
      <c r="A85" t="inlineStr">
        <is>
          <t>Homing Pigeon</t>
        </is>
      </c>
      <c r="B85" t="inlineStr">
        <is>
          <t>Animals and Vehicles</t>
        </is>
      </c>
      <c r="E85" t="inlineStr">
        <is>
          <t>1/–</t>
        </is>
      </c>
      <c r="F85" t="n">
        <v>12</v>
      </c>
      <c r="G85" t="n">
        <v>1</v>
      </c>
      <c r="H85" t="inlineStr">
        <is>
          <t>Scarce</t>
        </is>
      </c>
      <c r="I85" t="n">
        <v>0</v>
      </c>
      <c r="P85" t="n">
        <v>312</v>
      </c>
    </row>
    <row r="86">
      <c r="A86" t="inlineStr">
        <is>
          <t>Hunting Dog</t>
        </is>
      </c>
      <c r="B86" t="inlineStr">
        <is>
          <t>Animals and Vehicles</t>
        </is>
      </c>
      <c r="E86" t="inlineStr">
        <is>
          <t>2 GC</t>
        </is>
      </c>
      <c r="F86" t="n">
        <v>480</v>
      </c>
      <c r="G86" t="n">
        <v>0</v>
      </c>
      <c r="H86" t="inlineStr">
        <is>
          <t>Rare</t>
        </is>
      </c>
      <c r="I86" t="n">
        <v>0</v>
      </c>
      <c r="P86" t="n">
        <v>312</v>
      </c>
    </row>
    <row r="87">
      <c r="A87" t="inlineStr">
        <is>
          <t>Light Warhorse</t>
        </is>
      </c>
      <c r="B87" t="inlineStr">
        <is>
          <t>Animals and Vehicles</t>
        </is>
      </c>
      <c r="E87" t="inlineStr">
        <is>
          <t>150 GC</t>
        </is>
      </c>
      <c r="F87" t="n">
        <v>36000</v>
      </c>
      <c r="G87" t="n">
        <v>0</v>
      </c>
      <c r="H87" t="inlineStr">
        <is>
          <t>Common</t>
        </is>
      </c>
      <c r="I87" t="n">
        <v>18</v>
      </c>
      <c r="P87" t="n">
        <v>312</v>
      </c>
    </row>
    <row r="88">
      <c r="A88" t="inlineStr">
        <is>
          <t>Monkey</t>
        </is>
      </c>
      <c r="B88" t="inlineStr">
        <is>
          <t>Animals and Vehicles</t>
        </is>
      </c>
      <c r="E88" t="inlineStr">
        <is>
          <t>10 GC</t>
        </is>
      </c>
      <c r="F88" t="n">
        <v>2400</v>
      </c>
      <c r="G88" t="n">
        <v>2</v>
      </c>
      <c r="H88" t="inlineStr">
        <is>
          <t>Rare</t>
        </is>
      </c>
      <c r="I88" t="n">
        <v>1</v>
      </c>
      <c r="P88" t="n">
        <v>312</v>
      </c>
    </row>
    <row r="89">
      <c r="A89" t="inlineStr">
        <is>
          <t>Mule</t>
        </is>
      </c>
      <c r="B89" t="inlineStr">
        <is>
          <t>Animals and Vehicles</t>
        </is>
      </c>
      <c r="E89" t="inlineStr">
        <is>
          <t>10 GC</t>
        </is>
      </c>
      <c r="F89" t="n">
        <v>2400</v>
      </c>
      <c r="G89" t="n">
        <v>0</v>
      </c>
      <c r="H89" t="inlineStr">
        <is>
          <t>Common</t>
        </is>
      </c>
      <c r="I89" t="n">
        <v>14</v>
      </c>
      <c r="P89" t="n">
        <v>312</v>
      </c>
    </row>
    <row r="90">
      <c r="A90" t="inlineStr">
        <is>
          <t>Pony</t>
        </is>
      </c>
      <c r="B90" t="inlineStr">
        <is>
          <t>Animals and Vehicles</t>
        </is>
      </c>
      <c r="E90" t="inlineStr">
        <is>
          <t>40 GC</t>
        </is>
      </c>
      <c r="F90" t="n">
        <v>9600</v>
      </c>
      <c r="G90" t="n">
        <v>0</v>
      </c>
      <c r="H90" t="inlineStr">
        <is>
          <t>Common</t>
        </is>
      </c>
      <c r="I90" t="n">
        <v>14</v>
      </c>
      <c r="P90" t="n">
        <v>312</v>
      </c>
    </row>
    <row r="91">
      <c r="A91" t="inlineStr">
        <is>
          <t>Riding Horse</t>
        </is>
      </c>
      <c r="B91" t="inlineStr">
        <is>
          <t>Animals and Vehicles</t>
        </is>
      </c>
      <c r="E91" t="inlineStr">
        <is>
          <t>60 GC</t>
        </is>
      </c>
      <c r="F91" t="n">
        <v>14400</v>
      </c>
      <c r="G91" t="n">
        <v>0</v>
      </c>
      <c r="H91" t="inlineStr">
        <is>
          <t>Common</t>
        </is>
      </c>
      <c r="I91" t="n">
        <v>16</v>
      </c>
      <c r="P91" t="n">
        <v>312</v>
      </c>
    </row>
    <row r="92">
      <c r="A92" t="inlineStr">
        <is>
          <t>River Barge</t>
        </is>
      </c>
      <c r="B92" t="inlineStr">
        <is>
          <t>Animals and Vehicles</t>
        </is>
      </c>
      <c r="E92" t="inlineStr">
        <is>
          <t>225 GC</t>
        </is>
      </c>
      <c r="F92" t="n">
        <v>54000</v>
      </c>
      <c r="G92" t="n">
        <v>0</v>
      </c>
      <c r="H92" t="inlineStr">
        <is>
          <t>Rare</t>
        </is>
      </c>
      <c r="I92" t="n">
        <v>300</v>
      </c>
      <c r="P92" t="n">
        <v>312</v>
      </c>
    </row>
    <row r="93">
      <c r="A93" t="inlineStr">
        <is>
          <t>Row Boat</t>
        </is>
      </c>
      <c r="B93" t="inlineStr">
        <is>
          <t>Animals and Vehicles</t>
        </is>
      </c>
      <c r="E93" t="inlineStr">
        <is>
          <t>6 GC</t>
        </is>
      </c>
      <c r="F93" t="n">
        <v>1440</v>
      </c>
      <c r="G93" t="n">
        <v>0</v>
      </c>
      <c r="H93" t="inlineStr">
        <is>
          <t>Scarce</t>
        </is>
      </c>
      <c r="I93" t="n">
        <v>60</v>
      </c>
      <c r="P93" t="n">
        <v>312</v>
      </c>
    </row>
    <row r="94">
      <c r="A94" t="inlineStr">
        <is>
          <t>Saddle and Harness</t>
        </is>
      </c>
      <c r="B94" t="inlineStr">
        <is>
          <t>Animals and Vehicles</t>
        </is>
      </c>
      <c r="E94" t="inlineStr">
        <is>
          <t>6 GC</t>
        </is>
      </c>
      <c r="F94" t="n">
        <v>1440</v>
      </c>
      <c r="G94" t="n">
        <v>4</v>
      </c>
      <c r="H94" t="inlineStr">
        <is>
          <t>Common</t>
        </is>
      </c>
      <c r="I94" t="n">
        <v>0</v>
      </c>
      <c r="P94" t="n">
        <v>312</v>
      </c>
    </row>
    <row r="95">
      <c r="A95" t="inlineStr">
        <is>
          <t>Wagon</t>
        </is>
      </c>
      <c r="B95" t="inlineStr">
        <is>
          <t>Animals and Vehicles</t>
        </is>
      </c>
      <c r="E95" t="inlineStr">
        <is>
          <t>75 GC</t>
        </is>
      </c>
      <c r="F95" t="n">
        <v>18000</v>
      </c>
      <c r="G95" t="n">
        <v>0</v>
      </c>
      <c r="H95" t="inlineStr">
        <is>
          <t>Common</t>
        </is>
      </c>
      <c r="I95" t="n">
        <v>30</v>
      </c>
      <c r="P95" t="n">
        <v>312</v>
      </c>
    </row>
    <row r="96">
      <c r="A96" t="inlineStr">
        <is>
          <t>Worms (6)</t>
        </is>
      </c>
      <c r="B96" t="inlineStr">
        <is>
          <t>Animals and Vehicles</t>
        </is>
      </c>
      <c r="E96" t="inlineStr">
        <is>
          <t>1d</t>
        </is>
      </c>
      <c r="F96" t="n">
        <v>1</v>
      </c>
      <c r="G96" t="n">
        <v>0</v>
      </c>
      <c r="H96" t="inlineStr">
        <is>
          <t>Common</t>
        </is>
      </c>
      <c r="I96" t="n">
        <v>0</v>
      </c>
      <c r="P96" t="n">
        <v>312</v>
      </c>
    </row>
    <row r="97">
      <c r="A97" t="inlineStr">
        <is>
          <t>Book, Apothecary</t>
        </is>
      </c>
      <c r="B97" t="inlineStr">
        <is>
          <t>Books and Documents</t>
        </is>
      </c>
      <c r="E97" t="inlineStr">
        <is>
          <t>8 GC</t>
        </is>
      </c>
      <c r="F97" t="n">
        <v>1920</v>
      </c>
      <c r="G97" t="n">
        <v>1</v>
      </c>
      <c r="H97" t="inlineStr">
        <is>
          <t>Scarce</t>
        </is>
      </c>
      <c r="P97" t="n">
        <v>311</v>
      </c>
    </row>
    <row r="98">
      <c r="A98" t="inlineStr">
        <is>
          <t>Book, Art</t>
        </is>
      </c>
      <c r="B98" t="inlineStr">
        <is>
          <t>Books and Documents</t>
        </is>
      </c>
      <c r="E98" t="inlineStr">
        <is>
          <t>5 GC</t>
        </is>
      </c>
      <c r="F98" t="n">
        <v>1200</v>
      </c>
      <c r="G98" t="n">
        <v>1</v>
      </c>
      <c r="H98" t="inlineStr">
        <is>
          <t>Scarce</t>
        </is>
      </c>
      <c r="P98" t="n">
        <v>311</v>
      </c>
    </row>
    <row r="99">
      <c r="A99" t="inlineStr">
        <is>
          <t>Book, Cryptography</t>
        </is>
      </c>
      <c r="B99" t="inlineStr">
        <is>
          <t>Books and Documents</t>
        </is>
      </c>
      <c r="E99" t="inlineStr">
        <is>
          <t>8 GC</t>
        </is>
      </c>
      <c r="F99" t="n">
        <v>1920</v>
      </c>
      <c r="G99" t="n">
        <v>1</v>
      </c>
      <c r="H99" t="inlineStr">
        <is>
          <t>Exotic</t>
        </is>
      </c>
      <c r="P99" t="n">
        <v>311</v>
      </c>
    </row>
    <row r="100">
      <c r="A100" t="inlineStr">
        <is>
          <t>Book, Engineer</t>
        </is>
      </c>
      <c r="B100" t="inlineStr">
        <is>
          <t>Books and Documents</t>
        </is>
      </c>
      <c r="E100" t="inlineStr">
        <is>
          <t>3 GC</t>
        </is>
      </c>
      <c r="F100" t="n">
        <v>720</v>
      </c>
      <c r="G100" t="n">
        <v>1</v>
      </c>
      <c r="H100" t="inlineStr">
        <is>
          <t>Scarce</t>
        </is>
      </c>
      <c r="P100" t="n">
        <v>311</v>
      </c>
    </row>
    <row r="101">
      <c r="A101" t="inlineStr">
        <is>
          <t>Book, Law</t>
        </is>
      </c>
      <c r="B101" t="inlineStr">
        <is>
          <t>Books and Documents</t>
        </is>
      </c>
      <c r="E101" t="inlineStr">
        <is>
          <t>15 GC</t>
        </is>
      </c>
      <c r="F101" t="n">
        <v>3600</v>
      </c>
      <c r="G101" t="n">
        <v>1</v>
      </c>
      <c r="H101" t="inlineStr">
        <is>
          <t>Rare</t>
        </is>
      </c>
      <c r="P101" t="n">
        <v>311</v>
      </c>
    </row>
    <row r="102">
      <c r="A102" t="inlineStr">
        <is>
          <t>Book, Magic</t>
        </is>
      </c>
      <c r="B102" t="inlineStr">
        <is>
          <t>Books and Documents</t>
        </is>
      </c>
      <c r="E102" t="inlineStr">
        <is>
          <t>20 GC</t>
        </is>
      </c>
      <c r="F102" t="n">
        <v>4800</v>
      </c>
      <c r="G102" t="n">
        <v>1</v>
      </c>
      <c r="H102" t="inlineStr">
        <is>
          <t>Exotic</t>
        </is>
      </c>
      <c r="P102" t="n">
        <v>311</v>
      </c>
    </row>
    <row r="103">
      <c r="A103" t="inlineStr">
        <is>
          <t>Book, Medicine</t>
        </is>
      </c>
      <c r="B103" t="inlineStr">
        <is>
          <t>Books and Documents</t>
        </is>
      </c>
      <c r="E103" t="inlineStr">
        <is>
          <t>15 GC</t>
        </is>
      </c>
      <c r="F103" t="n">
        <v>3600</v>
      </c>
      <c r="G103" t="n">
        <v>1</v>
      </c>
      <c r="H103" t="inlineStr">
        <is>
          <t>Rare</t>
        </is>
      </c>
      <c r="P103" t="n">
        <v>311</v>
      </c>
    </row>
    <row r="104">
      <c r="A104" t="inlineStr">
        <is>
          <t>Book, Religion</t>
        </is>
      </c>
      <c r="B104" t="inlineStr">
        <is>
          <t>Books and Documents</t>
        </is>
      </c>
      <c r="E104" t="inlineStr">
        <is>
          <t>1 GC</t>
        </is>
      </c>
      <c r="F104" t="n">
        <v>240</v>
      </c>
      <c r="G104" t="n">
        <v>1</v>
      </c>
      <c r="H104" t="inlineStr">
        <is>
          <t>Common</t>
        </is>
      </c>
      <c r="P104" t="n">
        <v>311</v>
      </c>
    </row>
    <row r="105">
      <c r="A105" t="inlineStr">
        <is>
          <t>Guild Licence</t>
        </is>
      </c>
      <c r="B105" t="inlineStr">
        <is>
          <t>Books and Documents</t>
        </is>
      </c>
      <c r="E105" t="inlineStr">
        <is>
          <t>n/a</t>
        </is>
      </c>
      <c r="G105" t="n">
        <v>0</v>
      </c>
      <c r="H105" t="inlineStr">
        <is>
          <t>n/a</t>
        </is>
      </c>
      <c r="P105" t="n">
        <v>311</v>
      </c>
    </row>
    <row r="106">
      <c r="A106" t="inlineStr">
        <is>
          <t>Leaflet</t>
        </is>
      </c>
      <c r="B106" t="inlineStr">
        <is>
          <t>Books and Documents</t>
        </is>
      </c>
      <c r="E106" t="inlineStr">
        <is>
          <t>1/–</t>
        </is>
      </c>
      <c r="F106" t="n">
        <v>12</v>
      </c>
      <c r="G106" t="n">
        <v>0</v>
      </c>
      <c r="H106" t="inlineStr">
        <is>
          <t>Common</t>
        </is>
      </c>
      <c r="P106" t="n">
        <v>311</v>
      </c>
    </row>
    <row r="107">
      <c r="A107" t="inlineStr">
        <is>
          <t>Legal Document</t>
        </is>
      </c>
      <c r="B107" t="inlineStr">
        <is>
          <t>Books and Documents</t>
        </is>
      </c>
      <c r="E107" t="inlineStr">
        <is>
          <t>3/–</t>
        </is>
      </c>
      <c r="F107" t="n">
        <v>36</v>
      </c>
      <c r="G107" t="n">
        <v>0</v>
      </c>
      <c r="H107" t="inlineStr">
        <is>
          <t>Common</t>
        </is>
      </c>
      <c r="P107" t="n">
        <v>311</v>
      </c>
    </row>
    <row r="108">
      <c r="A108" t="inlineStr">
        <is>
          <t>Map</t>
        </is>
      </c>
      <c r="B108" t="inlineStr">
        <is>
          <t>Books and Documents</t>
        </is>
      </c>
      <c r="E108" t="inlineStr">
        <is>
          <t>3 GC</t>
        </is>
      </c>
      <c r="F108" t="n">
        <v>720</v>
      </c>
      <c r="G108" t="n">
        <v>0</v>
      </c>
      <c r="H108" t="inlineStr">
        <is>
          <t>Scarce</t>
        </is>
      </c>
      <c r="P108" t="n">
        <v>311</v>
      </c>
    </row>
    <row r="109">
      <c r="A109" t="inlineStr">
        <is>
          <t>Parchment/sheet</t>
        </is>
      </c>
      <c r="B109" t="inlineStr">
        <is>
          <t>Books and Documents</t>
        </is>
      </c>
      <c r="E109" t="inlineStr">
        <is>
          <t>1/–</t>
        </is>
      </c>
      <c r="F109" t="n">
        <v>12</v>
      </c>
      <c r="G109" t="n">
        <v>0</v>
      </c>
      <c r="H109" t="inlineStr">
        <is>
          <t>Common</t>
        </is>
      </c>
      <c r="P109" t="n">
        <v>311</v>
      </c>
    </row>
    <row r="110">
      <c r="A110" t="inlineStr">
        <is>
          <t>Amulet</t>
        </is>
      </c>
      <c r="B110" t="inlineStr">
        <is>
          <t>Clothing and Accessories</t>
        </is>
      </c>
      <c r="E110" t="inlineStr">
        <is>
          <t>2d</t>
        </is>
      </c>
      <c r="F110" t="n">
        <v>2</v>
      </c>
      <c r="G110" t="n">
        <v>0</v>
      </c>
      <c r="H110" t="inlineStr">
        <is>
          <t>Common</t>
        </is>
      </c>
      <c r="P110" t="n">
        <v>308</v>
      </c>
    </row>
    <row r="111">
      <c r="A111" t="inlineStr">
        <is>
          <t>Boots</t>
        </is>
      </c>
      <c r="B111" t="inlineStr">
        <is>
          <t>Clothing and Accessories</t>
        </is>
      </c>
      <c r="E111" t="inlineStr">
        <is>
          <t>3 GC</t>
        </is>
      </c>
      <c r="F111" t="n">
        <v>720</v>
      </c>
      <c r="G111" t="n">
        <v>1</v>
      </c>
      <c r="H111" t="inlineStr">
        <is>
          <t>Common</t>
        </is>
      </c>
      <c r="P111" t="n">
        <v>308</v>
      </c>
    </row>
    <row r="112">
      <c r="A112" t="inlineStr">
        <is>
          <t>Cloak</t>
        </is>
      </c>
      <c r="B112" t="inlineStr">
        <is>
          <t>Clothing and Accessories</t>
        </is>
      </c>
      <c r="E112" t="inlineStr">
        <is>
          <t>2 GC</t>
        </is>
      </c>
      <c r="F112" t="n">
        <v>480</v>
      </c>
      <c r="G112" t="n">
        <v>1</v>
      </c>
      <c r="H112" t="inlineStr">
        <is>
          <t>Common</t>
        </is>
      </c>
      <c r="P112" t="n">
        <v>308</v>
      </c>
    </row>
    <row r="113">
      <c r="A113" t="inlineStr">
        <is>
          <t>Clothing</t>
        </is>
      </c>
      <c r="B113" t="inlineStr">
        <is>
          <t>Clothing and Accessories</t>
        </is>
      </c>
      <c r="E113" t="inlineStr">
        <is>
          <t>3 GC</t>
        </is>
      </c>
      <c r="F113" t="n">
        <v>720</v>
      </c>
      <c r="G113" t="n">
        <v>1</v>
      </c>
      <c r="H113" t="inlineStr">
        <is>
          <t>Common</t>
        </is>
      </c>
      <c r="P113" t="n">
        <v>308</v>
      </c>
    </row>
    <row r="114">
      <c r="A114" t="inlineStr">
        <is>
          <t>Coat</t>
        </is>
      </c>
      <c r="B114" t="inlineStr">
        <is>
          <t>Clothing and Accessories</t>
        </is>
      </c>
      <c r="E114" t="inlineStr">
        <is>
          <t>3 GC</t>
        </is>
      </c>
      <c r="F114" t="n">
        <v>720</v>
      </c>
      <c r="G114" t="n">
        <v>1</v>
      </c>
      <c r="H114" t="inlineStr">
        <is>
          <t>Common</t>
        </is>
      </c>
      <c r="P114" t="n">
        <v>308</v>
      </c>
    </row>
    <row r="115">
      <c r="A115" t="inlineStr">
        <is>
          <t>Costume</t>
        </is>
      </c>
      <c r="B115" t="inlineStr">
        <is>
          <t>Clothing and Accessories</t>
        </is>
      </c>
      <c r="E115" t="inlineStr">
        <is>
          <t>1 GC</t>
        </is>
      </c>
      <c r="F115" t="n">
        <v>240</v>
      </c>
      <c r="G115" t="n">
        <v>1</v>
      </c>
      <c r="H115" t="inlineStr">
        <is>
          <t>Scarce</t>
        </is>
      </c>
      <c r="P115" t="n">
        <v>308</v>
      </c>
    </row>
    <row r="116">
      <c r="A116" t="inlineStr">
        <is>
          <t>Courtly Garb</t>
        </is>
      </c>
      <c r="B116" t="inlineStr">
        <is>
          <t>Clothing and Accessories</t>
        </is>
      </c>
      <c r="E116" t="inlineStr">
        <is>
          <t>16 GC</t>
        </is>
      </c>
      <c r="F116" t="n">
        <v>3840</v>
      </c>
      <c r="G116" t="n">
        <v>1</v>
      </c>
      <c r="H116" t="inlineStr">
        <is>
          <t>Scarce</t>
        </is>
      </c>
      <c r="P116" t="n">
        <v>308</v>
      </c>
    </row>
    <row r="117">
      <c r="A117" t="inlineStr">
        <is>
          <t>Face Powder</t>
        </is>
      </c>
      <c r="B117" t="inlineStr">
        <is>
          <t>Clothing and Accessories</t>
        </is>
      </c>
      <c r="E117" t="inlineStr">
        <is>
          <t>10/–</t>
        </is>
      </c>
      <c r="F117" t="n">
        <v>120</v>
      </c>
      <c r="G117" t="n">
        <v>0</v>
      </c>
      <c r="H117" t="inlineStr">
        <is>
          <t>Common</t>
        </is>
      </c>
      <c r="P117" t="n">
        <v>308</v>
      </c>
    </row>
    <row r="118">
      <c r="A118" t="inlineStr">
        <is>
          <t>Gloves</t>
        </is>
      </c>
      <c r="B118" t="inlineStr">
        <is>
          <t>Clothing and Accessories</t>
        </is>
      </c>
      <c r="E118" t="inlineStr">
        <is>
          <t>8/–</t>
        </is>
      </c>
      <c r="F118" t="n">
        <v>96</v>
      </c>
      <c r="G118" t="n">
        <v>0</v>
      </c>
      <c r="H118" t="inlineStr">
        <is>
          <t>Common</t>
        </is>
      </c>
      <c r="P118" t="n">
        <v>308</v>
      </c>
    </row>
    <row r="119">
      <c r="A119" t="inlineStr">
        <is>
          <t>Hat</t>
        </is>
      </c>
      <c r="B119" t="inlineStr">
        <is>
          <t>Clothing and Accessories</t>
        </is>
      </c>
      <c r="E119" t="inlineStr">
        <is>
          <t>10/6</t>
        </is>
      </c>
      <c r="F119" t="n">
        <v>126</v>
      </c>
      <c r="G119" t="n">
        <v>0</v>
      </c>
      <c r="H119" t="inlineStr">
        <is>
          <t>Common</t>
        </is>
      </c>
      <c r="P119" t="n">
        <v>308</v>
      </c>
    </row>
    <row r="120">
      <c r="A120" t="inlineStr">
        <is>
          <t>Hood or Mask</t>
        </is>
      </c>
      <c r="B120" t="inlineStr">
        <is>
          <t>Clothing and Accessories</t>
        </is>
      </c>
      <c r="E120" t="inlineStr">
        <is>
          <t>5/–</t>
        </is>
      </c>
      <c r="F120" t="n">
        <v>60</v>
      </c>
      <c r="G120" t="n">
        <v>0</v>
      </c>
      <c r="H120" t="inlineStr">
        <is>
          <t>Common</t>
        </is>
      </c>
      <c r="P120" t="n">
        <v>308</v>
      </c>
    </row>
    <row r="121">
      <c r="A121" t="inlineStr">
        <is>
          <t>Jewellery</t>
        </is>
      </c>
      <c r="B121" t="inlineStr">
        <is>
          <t>Clothing and Accessories</t>
        </is>
      </c>
      <c r="E121" t="inlineStr">
        <is>
          <t>Varies</t>
        </is>
      </c>
      <c r="G121" t="n">
        <v>0</v>
      </c>
      <c r="H121" t="inlineStr">
        <is>
          <t>Common</t>
        </is>
      </c>
      <c r="P121" t="n">
        <v>308</v>
      </c>
    </row>
    <row r="122">
      <c r="A122" t="inlineStr">
        <is>
          <t>Perfume</t>
        </is>
      </c>
      <c r="B122" t="inlineStr">
        <is>
          <t>Clothing and Accessories</t>
        </is>
      </c>
      <c r="E122" t="inlineStr">
        <is>
          <t>10/–</t>
        </is>
      </c>
      <c r="F122" t="n">
        <v>120</v>
      </c>
      <c r="G122" t="n">
        <v>0</v>
      </c>
      <c r="H122" t="inlineStr">
        <is>
          <t>Common</t>
        </is>
      </c>
      <c r="P122" t="n">
        <v>308</v>
      </c>
    </row>
    <row r="123">
      <c r="A123" t="inlineStr">
        <is>
          <t>Pins (6)</t>
        </is>
      </c>
      <c r="B123" t="inlineStr">
        <is>
          <t>Clothing and Accessories</t>
        </is>
      </c>
      <c r="E123" t="inlineStr">
        <is>
          <t>10/–</t>
        </is>
      </c>
      <c r="F123" t="n">
        <v>120</v>
      </c>
      <c r="G123" t="n">
        <v>0</v>
      </c>
      <c r="H123" t="inlineStr">
        <is>
          <t>Scarce</t>
        </is>
      </c>
      <c r="P123" t="n">
        <v>308</v>
      </c>
    </row>
    <row r="124">
      <c r="A124" t="inlineStr">
        <is>
          <t>Religious Symbol</t>
        </is>
      </c>
      <c r="B124" t="inlineStr">
        <is>
          <t>Clothing and Accessories</t>
        </is>
      </c>
      <c r="E124" t="inlineStr">
        <is>
          <t>6/8</t>
        </is>
      </c>
      <c r="F124" t="n">
        <v>80</v>
      </c>
      <c r="G124" t="n">
        <v>0</v>
      </c>
      <c r="H124" t="inlineStr">
        <is>
          <t>Common</t>
        </is>
      </c>
      <c r="P124" t="n">
        <v>308</v>
      </c>
    </row>
    <row r="125">
      <c r="A125" t="inlineStr">
        <is>
          <t>Robes</t>
        </is>
      </c>
      <c r="B125" t="inlineStr">
        <is>
          <t>Clothing and Accessories</t>
        </is>
      </c>
      <c r="E125" t="inlineStr">
        <is>
          <t>3 GC</t>
        </is>
      </c>
      <c r="F125" t="n">
        <v>720</v>
      </c>
      <c r="G125" t="n">
        <v>1</v>
      </c>
      <c r="H125" t="inlineStr">
        <is>
          <t>Common</t>
        </is>
      </c>
      <c r="P125" t="n">
        <v>308</v>
      </c>
    </row>
    <row r="126">
      <c r="A126" t="inlineStr">
        <is>
          <t>Sceptre</t>
        </is>
      </c>
      <c r="B126" t="inlineStr">
        <is>
          <t>Clothing and Accessories</t>
        </is>
      </c>
      <c r="E126" t="inlineStr">
        <is>
          <t>8 GC</t>
        </is>
      </c>
      <c r="F126" t="n">
        <v>1920</v>
      </c>
      <c r="G126" t="n">
        <v>1</v>
      </c>
      <c r="H126" t="inlineStr">
        <is>
          <t>Rare</t>
        </is>
      </c>
      <c r="P126" t="n">
        <v>308</v>
      </c>
    </row>
    <row r="127">
      <c r="A127" t="inlineStr">
        <is>
          <t>Shoes</t>
        </is>
      </c>
      <c r="B127" t="inlineStr">
        <is>
          <t>Clothing and Accessories</t>
        </is>
      </c>
      <c r="E127" t="inlineStr">
        <is>
          <t>2 GC</t>
        </is>
      </c>
      <c r="F127" t="n">
        <v>480</v>
      </c>
      <c r="G127" t="n">
        <v>0</v>
      </c>
      <c r="H127" t="inlineStr">
        <is>
          <t>Common</t>
        </is>
      </c>
      <c r="P127" t="n">
        <v>308</v>
      </c>
    </row>
    <row r="128">
      <c r="A128" t="inlineStr">
        <is>
          <t>Signet Ring</t>
        </is>
      </c>
      <c r="B128" t="inlineStr">
        <is>
          <t>Clothing and Accessories</t>
        </is>
      </c>
      <c r="E128" t="inlineStr">
        <is>
          <t>5 GC</t>
        </is>
      </c>
      <c r="F128" t="n">
        <v>1200</v>
      </c>
      <c r="G128" t="n">
        <v>0</v>
      </c>
      <c r="H128" t="inlineStr">
        <is>
          <t>Rare</t>
        </is>
      </c>
      <c r="P128" t="n">
        <v>308</v>
      </c>
    </row>
    <row r="129">
      <c r="A129" t="inlineStr">
        <is>
          <t>Tattoo</t>
        </is>
      </c>
      <c r="B129" t="inlineStr">
        <is>
          <t>Clothing and Accessories</t>
        </is>
      </c>
      <c r="E129" t="inlineStr">
        <is>
          <t>4/–</t>
        </is>
      </c>
      <c r="F129" t="n">
        <v>48</v>
      </c>
      <c r="G129" t="n">
        <v>0</v>
      </c>
      <c r="H129" t="inlineStr">
        <is>
          <t>Scarce</t>
        </is>
      </c>
      <c r="P129" t="n">
        <v>308</v>
      </c>
    </row>
    <row r="130">
      <c r="A130" t="inlineStr">
        <is>
          <t>Uniform</t>
        </is>
      </c>
      <c r="B130" t="inlineStr">
        <is>
          <t>Clothing and Accessories</t>
        </is>
      </c>
      <c r="E130" t="inlineStr">
        <is>
          <t>2 GC</t>
        </is>
      </c>
      <c r="F130" t="n">
        <v>480</v>
      </c>
      <c r="G130" t="n">
        <v>1</v>
      </c>
      <c r="H130" t="inlineStr">
        <is>
          <t>Scarce</t>
        </is>
      </c>
      <c r="P130" t="n">
        <v>308</v>
      </c>
    </row>
    <row r="131">
      <c r="A131" t="inlineStr">
        <is>
          <t>Velvet Cloak</t>
        </is>
      </c>
      <c r="B131" t="inlineStr">
        <is>
          <t>Clothing and Accessories</t>
        </is>
      </c>
      <c r="E131" t="inlineStr">
        <is>
          <t>12 GC</t>
        </is>
      </c>
      <c r="F131" t="n">
        <v>2880</v>
      </c>
      <c r="G131" t="n">
        <v>1</v>
      </c>
      <c r="H131" t="inlineStr">
        <is>
          <t>Rare</t>
        </is>
      </c>
      <c r="P131" t="n">
        <v>308</v>
      </c>
    </row>
    <row r="132">
      <c r="A132" t="inlineStr">
        <is>
          <t>Walking Cane</t>
        </is>
      </c>
      <c r="B132" t="inlineStr">
        <is>
          <t>Clothing and Accessories</t>
        </is>
      </c>
      <c r="E132" t="inlineStr">
        <is>
          <t>3 GC</t>
        </is>
      </c>
      <c r="F132" t="n">
        <v>720</v>
      </c>
      <c r="G132" t="n">
        <v>1</v>
      </c>
      <c r="H132" t="inlineStr">
        <is>
          <t>Common</t>
        </is>
      </c>
      <c r="P132" t="n">
        <v>308</v>
      </c>
    </row>
    <row r="133">
      <c r="A133" t="inlineStr">
        <is>
          <t>Ale, keg</t>
        </is>
      </c>
      <c r="B133" t="inlineStr">
        <is>
          <t>Food, Drink, and Lodging</t>
        </is>
      </c>
      <c r="E133" t="inlineStr">
        <is>
          <t>3/–</t>
        </is>
      </c>
      <c r="F133" t="n">
        <v>36</v>
      </c>
      <c r="G133" t="n">
        <v>2</v>
      </c>
      <c r="H133" t="inlineStr">
        <is>
          <t>Common</t>
        </is>
      </c>
      <c r="P133" t="n">
        <v>309</v>
      </c>
    </row>
    <row r="134">
      <c r="A134" t="inlineStr">
        <is>
          <t>Ale, pint</t>
        </is>
      </c>
      <c r="B134" t="inlineStr">
        <is>
          <t>Food, Drink, and Lodging</t>
        </is>
      </c>
      <c r="E134" t="inlineStr">
        <is>
          <t>3d</t>
        </is>
      </c>
      <c r="F134" t="n">
        <v>3</v>
      </c>
      <c r="G134" t="n">
        <v>0</v>
      </c>
      <c r="H134" t="inlineStr">
        <is>
          <t>Common</t>
        </is>
      </c>
      <c r="P134" t="n">
        <v>309</v>
      </c>
    </row>
    <row r="135">
      <c r="A135" t="inlineStr">
        <is>
          <t>Dwarf Ale, pint</t>
        </is>
      </c>
      <c r="B135" t="inlineStr">
        <is>
          <t>Food, Drink, and Lodging</t>
        </is>
      </c>
      <c r="E135" t="inlineStr">
        <is>
          <t>9d</t>
        </is>
      </c>
      <c r="F135" t="n">
        <v>9</v>
      </c>
      <c r="G135" t="n">
        <v>0</v>
      </c>
      <c r="H135" t="inlineStr">
        <is>
          <t>Exotic</t>
        </is>
      </c>
      <c r="P135" t="n">
        <v>309</v>
      </c>
    </row>
    <row r="136">
      <c r="A136" t="inlineStr">
        <is>
          <t>Food, groceries/day</t>
        </is>
      </c>
      <c r="B136" t="inlineStr">
        <is>
          <t>Food, Drink, and Lodging</t>
        </is>
      </c>
      <c r="E136" t="inlineStr">
        <is>
          <t>10d</t>
        </is>
      </c>
      <c r="F136" t="n">
        <v>10</v>
      </c>
      <c r="G136" t="n">
        <v>1</v>
      </c>
      <c r="H136" t="inlineStr">
        <is>
          <t>Common</t>
        </is>
      </c>
      <c r="P136" t="n">
        <v>309</v>
      </c>
    </row>
    <row r="137">
      <c r="A137" t="inlineStr">
        <is>
          <t>Meal, inn</t>
        </is>
      </c>
      <c r="B137" t="inlineStr">
        <is>
          <t>Food, Drink, and Lodging</t>
        </is>
      </c>
      <c r="E137" t="inlineStr">
        <is>
          <t>1/–</t>
        </is>
      </c>
      <c r="F137" t="n">
        <v>12</v>
      </c>
      <c r="G137" t="n">
        <v>0</v>
      </c>
      <c r="H137" t="inlineStr">
        <is>
          <t>Common</t>
        </is>
      </c>
      <c r="P137" t="n">
        <v>309</v>
      </c>
    </row>
    <row r="138">
      <c r="A138" t="inlineStr">
        <is>
          <t>Rations, 1 day</t>
        </is>
      </c>
      <c r="B138" t="inlineStr">
        <is>
          <t>Food, Drink, and Lodging</t>
        </is>
      </c>
      <c r="E138" t="inlineStr">
        <is>
          <t>2/–</t>
        </is>
      </c>
      <c r="F138" t="n">
        <v>24</v>
      </c>
      <c r="G138" t="n">
        <v>0</v>
      </c>
      <c r="H138" t="inlineStr">
        <is>
          <t>Common</t>
        </is>
      </c>
      <c r="P138" t="n">
        <v>309</v>
      </c>
    </row>
    <row r="139">
      <c r="A139" t="inlineStr">
        <is>
          <t>Room, common/night</t>
        </is>
      </c>
      <c r="B139" t="inlineStr">
        <is>
          <t>Food, Drink, and Lodging</t>
        </is>
      </c>
      <c r="E139" t="inlineStr">
        <is>
          <t>10d</t>
        </is>
      </c>
      <c r="F139" t="n">
        <v>10</v>
      </c>
      <c r="G139" t="n">
        <v>0</v>
      </c>
      <c r="H139" t="inlineStr">
        <is>
          <t>Common</t>
        </is>
      </c>
      <c r="P139" t="n">
        <v>309</v>
      </c>
    </row>
    <row r="140">
      <c r="A140" t="inlineStr">
        <is>
          <t>Room, private/night</t>
        </is>
      </c>
      <c r="B140" t="inlineStr">
        <is>
          <t>Food, Drink, and Lodging</t>
        </is>
      </c>
      <c r="E140" t="inlineStr">
        <is>
          <t>10/–</t>
        </is>
      </c>
      <c r="F140" t="n">
        <v>120</v>
      </c>
      <c r="G140" t="n">
        <v>0</v>
      </c>
      <c r="H140" t="inlineStr">
        <is>
          <t>Common</t>
        </is>
      </c>
      <c r="P140" t="n">
        <v>309</v>
      </c>
    </row>
    <row r="141">
      <c r="A141" t="inlineStr">
        <is>
          <t>Spirits, pint</t>
        </is>
      </c>
      <c r="B141" t="inlineStr">
        <is>
          <t>Food, Drink, and Lodging</t>
        </is>
      </c>
      <c r="E141" t="inlineStr">
        <is>
          <t>2/–</t>
        </is>
      </c>
      <c r="F141" t="n">
        <v>24</v>
      </c>
      <c r="G141" t="n">
        <v>0</v>
      </c>
      <c r="H141" t="inlineStr">
        <is>
          <t>Common</t>
        </is>
      </c>
      <c r="P141" t="n">
        <v>309</v>
      </c>
    </row>
    <row r="142">
      <c r="A142" t="inlineStr">
        <is>
          <t>Stables/night</t>
        </is>
      </c>
      <c r="B142" t="inlineStr">
        <is>
          <t>Food, Drink, and Lodging</t>
        </is>
      </c>
      <c r="E142" t="inlineStr">
        <is>
          <t>10d</t>
        </is>
      </c>
      <c r="F142" t="n">
        <v>10</v>
      </c>
      <c r="G142" t="n">
        <v>0</v>
      </c>
      <c r="H142" t="inlineStr">
        <is>
          <t>Common</t>
        </is>
      </c>
      <c r="P142" t="n">
        <v>309</v>
      </c>
    </row>
    <row r="143">
      <c r="A143" t="inlineStr">
        <is>
          <t>Wine and Spirits, drink</t>
        </is>
      </c>
      <c r="B143" t="inlineStr">
        <is>
          <t>Food, Drink, and Lodging</t>
        </is>
      </c>
      <c r="E143" t="inlineStr">
        <is>
          <t>4d</t>
        </is>
      </c>
      <c r="F143" t="n">
        <v>4</v>
      </c>
      <c r="G143" t="n">
        <v>0</v>
      </c>
      <c r="H143" t="inlineStr">
        <is>
          <t>Common</t>
        </is>
      </c>
      <c r="P143" t="n">
        <v>309</v>
      </c>
    </row>
    <row r="144">
      <c r="A144" t="inlineStr">
        <is>
          <t>Wine, bottle</t>
        </is>
      </c>
      <c r="B144" t="inlineStr">
        <is>
          <t>Food, Drink, and Lodging</t>
        </is>
      </c>
      <c r="E144" t="inlineStr">
        <is>
          <t>10d</t>
        </is>
      </c>
      <c r="F144" t="n">
        <v>10</v>
      </c>
      <c r="G144" t="n">
        <v>0</v>
      </c>
      <c r="H144" t="inlineStr">
        <is>
          <t>Common</t>
        </is>
      </c>
      <c r="P144" t="n">
        <v>309</v>
      </c>
    </row>
    <row r="145">
      <c r="A145" t="inlineStr">
        <is>
          <t>Digestive Tonic</t>
        </is>
      </c>
      <c r="B145" t="inlineStr">
        <is>
          <t>Herbs and Remedies</t>
        </is>
      </c>
      <c r="E145" t="inlineStr">
        <is>
          <t>3/–</t>
        </is>
      </c>
      <c r="F145" t="n">
        <v>36</v>
      </c>
      <c r="G145" t="n">
        <v>0</v>
      </c>
      <c r="H145" t="inlineStr">
        <is>
          <t>Common</t>
        </is>
      </c>
      <c r="P145" t="n">
        <v>314</v>
      </c>
    </row>
    <row r="146">
      <c r="A146" t="inlineStr">
        <is>
          <t>Faxtoryll</t>
        </is>
      </c>
      <c r="B146" t="inlineStr">
        <is>
          <t>Herbs and Remedies</t>
        </is>
      </c>
      <c r="E146" t="inlineStr">
        <is>
          <t>15/–</t>
        </is>
      </c>
      <c r="F146" t="n">
        <v>180</v>
      </c>
      <c r="G146" t="n">
        <v>0</v>
      </c>
      <c r="H146" t="inlineStr">
        <is>
          <t>Rare</t>
        </is>
      </c>
      <c r="P146" t="n">
        <v>314</v>
      </c>
    </row>
    <row r="147">
      <c r="A147" t="inlineStr">
        <is>
          <t>Healing Poultice</t>
        </is>
      </c>
      <c r="B147" t="inlineStr">
        <is>
          <t>Herbs and Remedies</t>
        </is>
      </c>
      <c r="E147" t="inlineStr">
        <is>
          <t>12/–</t>
        </is>
      </c>
      <c r="F147" t="n">
        <v>144</v>
      </c>
      <c r="G147" t="n">
        <v>0</v>
      </c>
      <c r="H147" t="inlineStr">
        <is>
          <t>Common</t>
        </is>
      </c>
      <c r="P147" t="n">
        <v>314</v>
      </c>
    </row>
    <row r="148">
      <c r="A148" t="inlineStr">
        <is>
          <t>Nightshade</t>
        </is>
      </c>
      <c r="B148" t="inlineStr">
        <is>
          <t>Herbs and Remedies</t>
        </is>
      </c>
      <c r="E148" t="inlineStr">
        <is>
          <t>3 GC</t>
        </is>
      </c>
      <c r="F148" t="n">
        <v>720</v>
      </c>
      <c r="G148" t="n">
        <v>0</v>
      </c>
      <c r="H148" t="inlineStr">
        <is>
          <t>Rare</t>
        </is>
      </c>
      <c r="P148" t="n">
        <v>314</v>
      </c>
    </row>
    <row r="149">
      <c r="A149" t="inlineStr">
        <is>
          <t>Remedy (Blight, Buboes, Convulsions, Gangrene)</t>
        </is>
      </c>
      <c r="B149" t="inlineStr">
        <is>
          <t>Herbs and Remedies</t>
        </is>
      </c>
      <c r="E149" t="inlineStr">
        <is>
          <t>4/–</t>
        </is>
      </c>
      <c r="F149" t="n">
        <v>48</v>
      </c>
      <c r="G149" t="n">
        <v>0</v>
      </c>
      <c r="H149" t="inlineStr">
        <is>
          <t>Common</t>
        </is>
      </c>
      <c r="P149" t="n">
        <v>314</v>
      </c>
    </row>
    <row r="150">
      <c r="A150" t="inlineStr">
        <is>
          <t>Remedy (Coughs and Sneezes, Fever, Flux)</t>
        </is>
      </c>
      <c r="B150" t="inlineStr">
        <is>
          <t>Herbs and Remedies</t>
        </is>
      </c>
      <c r="E150" t="inlineStr">
        <is>
          <t>3/–</t>
        </is>
      </c>
      <c r="F150" t="n">
        <v>36</v>
      </c>
      <c r="G150" t="n">
        <v>0</v>
      </c>
      <c r="H150" t="inlineStr">
        <is>
          <t>Common</t>
        </is>
      </c>
      <c r="P150" t="n">
        <v>314</v>
      </c>
    </row>
    <row r="151">
      <c r="A151" t="inlineStr">
        <is>
          <t>Remedy (Malaise, Nausea, Pox, Wounded)</t>
        </is>
      </c>
      <c r="B151" t="inlineStr">
        <is>
          <t>Herbs and Remedies</t>
        </is>
      </c>
      <c r="E151" t="inlineStr">
        <is>
          <t>2/–</t>
        </is>
      </c>
      <c r="F151" t="n">
        <v>24</v>
      </c>
      <c r="G151" t="n">
        <v>0</v>
      </c>
      <c r="H151" t="inlineStr">
        <is>
          <t>Common</t>
        </is>
      </c>
      <c r="P151" t="n">
        <v>314</v>
      </c>
    </row>
    <row r="152">
      <c r="A152" t="inlineStr">
        <is>
          <t>Salwort</t>
        </is>
      </c>
      <c r="B152" t="inlineStr">
        <is>
          <t>Herbs and Remedies</t>
        </is>
      </c>
      <c r="E152" t="inlineStr">
        <is>
          <t>12/–</t>
        </is>
      </c>
      <c r="F152" t="n">
        <v>144</v>
      </c>
      <c r="G152" t="n">
        <v>0</v>
      </c>
      <c r="H152" t="inlineStr">
        <is>
          <t>Common</t>
        </is>
      </c>
      <c r="P152" t="n">
        <v>314</v>
      </c>
    </row>
    <row r="153">
      <c r="A153" t="inlineStr">
        <is>
          <t>Vitality Draught</t>
        </is>
      </c>
      <c r="B153" t="inlineStr">
        <is>
          <t>Herbs and Remedies</t>
        </is>
      </c>
      <c r="E153" t="inlineStr">
        <is>
          <t>18/–</t>
        </is>
      </c>
      <c r="F153" t="n">
        <v>216</v>
      </c>
      <c r="G153" t="n">
        <v>0</v>
      </c>
      <c r="H153" t="inlineStr">
        <is>
          <t>Scarce</t>
        </is>
      </c>
      <c r="P153" t="n">
        <v>314</v>
      </c>
    </row>
    <row r="154">
      <c r="A154" t="inlineStr">
        <is>
          <t>Elaborate Wizard's Robes</t>
        </is>
      </c>
      <c r="B154" t="inlineStr">
        <is>
          <t>Magical Items</t>
        </is>
      </c>
      <c r="E154" t="inlineStr">
        <is>
          <t>27 GC</t>
        </is>
      </c>
      <c r="F154" t="n">
        <v>6480</v>
      </c>
      <c r="G154" t="n">
        <v>3</v>
      </c>
      <c r="H154" t="inlineStr">
        <is>
          <t>Exotic</t>
        </is>
      </c>
      <c r="P154" t="n">
        <v>315</v>
      </c>
    </row>
    <row r="155">
      <c r="A155" t="inlineStr">
        <is>
          <t>Enchanted Staff</t>
        </is>
      </c>
      <c r="B155" t="inlineStr">
        <is>
          <t>Magical Items</t>
        </is>
      </c>
      <c r="E155" t="inlineStr">
        <is>
          <t>15 GC</t>
        </is>
      </c>
      <c r="F155" t="n">
        <v>3600</v>
      </c>
      <c r="G155" t="n">
        <v>0</v>
      </c>
      <c r="H155" t="inlineStr">
        <is>
          <t>Exotic</t>
        </is>
      </c>
      <c r="P155" t="n">
        <v>315</v>
      </c>
    </row>
    <row r="156">
      <c r="A156" t="inlineStr">
        <is>
          <t>Practical Wizard's Robes</t>
        </is>
      </c>
      <c r="B156" t="inlineStr">
        <is>
          <t>Magical Items</t>
        </is>
      </c>
      <c r="E156" t="inlineStr">
        <is>
          <t>3 GC</t>
        </is>
      </c>
      <c r="F156" t="n">
        <v>720</v>
      </c>
      <c r="G156" t="n">
        <v>1</v>
      </c>
      <c r="H156" t="inlineStr">
        <is>
          <t>Exotic</t>
        </is>
      </c>
      <c r="P156" t="n">
        <v>315</v>
      </c>
    </row>
    <row r="157">
      <c r="A157" t="inlineStr">
        <is>
          <t>Standard Wizard's Robes</t>
        </is>
      </c>
      <c r="B157" t="inlineStr">
        <is>
          <t>Magical Items</t>
        </is>
      </c>
      <c r="E157" t="inlineStr">
        <is>
          <t>9 GC</t>
        </is>
      </c>
      <c r="F157" t="n">
        <v>2160</v>
      </c>
      <c r="G157" t="n">
        <v>2</v>
      </c>
      <c r="H157" t="inlineStr">
        <is>
          <t>Exotic</t>
        </is>
      </c>
      <c r="P157" t="n">
        <v>315</v>
      </c>
    </row>
    <row r="158">
      <c r="A158" t="inlineStr">
        <is>
          <t>Ball</t>
        </is>
      </c>
      <c r="B158" t="inlineStr">
        <is>
          <t>Miscellaneous Trappings</t>
        </is>
      </c>
      <c r="E158" t="inlineStr">
        <is>
          <t>5d</t>
        </is>
      </c>
      <c r="F158" t="n">
        <v>5</v>
      </c>
      <c r="G158" t="n">
        <v>0</v>
      </c>
      <c r="H158" t="inlineStr">
        <is>
          <t>Common</t>
        </is>
      </c>
      <c r="P158" t="n">
        <v>316</v>
      </c>
    </row>
    <row r="159">
      <c r="A159" t="inlineStr">
        <is>
          <t>Bandage</t>
        </is>
      </c>
      <c r="B159" t="inlineStr">
        <is>
          <t>Miscellaneous Trappings</t>
        </is>
      </c>
      <c r="E159" t="inlineStr">
        <is>
          <t>4d</t>
        </is>
      </c>
      <c r="F159" t="n">
        <v>4</v>
      </c>
      <c r="G159" t="n">
        <v>0</v>
      </c>
      <c r="H159" t="inlineStr">
        <is>
          <t>Common</t>
        </is>
      </c>
      <c r="P159" t="n">
        <v>316</v>
      </c>
    </row>
    <row r="160">
      <c r="A160" t="inlineStr">
        <is>
          <t>Baton</t>
        </is>
      </c>
      <c r="B160" t="inlineStr">
        <is>
          <t>Miscellaneous Trappings</t>
        </is>
      </c>
      <c r="E160" t="inlineStr">
        <is>
          <t>1/–</t>
        </is>
      </c>
      <c r="F160" t="n">
        <v>12</v>
      </c>
      <c r="G160" t="n">
        <v>0</v>
      </c>
      <c r="H160" t="inlineStr">
        <is>
          <t>Common</t>
        </is>
      </c>
      <c r="P160" t="n">
        <v>316</v>
      </c>
    </row>
    <row r="161">
      <c r="A161" t="inlineStr">
        <is>
          <t>Bedroll</t>
        </is>
      </c>
      <c r="B161" t="inlineStr">
        <is>
          <t>Miscellaneous Trappings</t>
        </is>
      </c>
      <c r="E161" t="inlineStr">
        <is>
          <t>6/–</t>
        </is>
      </c>
      <c r="F161" t="n">
        <v>72</v>
      </c>
      <c r="G161" t="n">
        <v>1</v>
      </c>
      <c r="H161" t="inlineStr">
        <is>
          <t>Common</t>
        </is>
      </c>
      <c r="P161" t="n">
        <v>316</v>
      </c>
    </row>
    <row r="162">
      <c r="A162" t="inlineStr">
        <is>
          <t>Blanket</t>
        </is>
      </c>
      <c r="B162" t="inlineStr">
        <is>
          <t>Miscellaneous Trappings</t>
        </is>
      </c>
      <c r="E162" t="inlineStr">
        <is>
          <t>8d</t>
        </is>
      </c>
      <c r="F162" t="n">
        <v>8</v>
      </c>
      <c r="G162" t="n">
        <v>0</v>
      </c>
      <c r="H162" t="inlineStr">
        <is>
          <t>Common</t>
        </is>
      </c>
      <c r="P162" t="n">
        <v>316</v>
      </c>
    </row>
    <row r="163">
      <c r="A163" t="inlineStr">
        <is>
          <t>Bowl</t>
        </is>
      </c>
      <c r="B163" t="inlineStr">
        <is>
          <t>Miscellaneous Trappings</t>
        </is>
      </c>
      <c r="E163" t="inlineStr">
        <is>
          <t>1/–</t>
        </is>
      </c>
      <c r="F163" t="n">
        <v>12</v>
      </c>
      <c r="G163" t="n">
        <v>0</v>
      </c>
      <c r="H163" t="inlineStr">
        <is>
          <t>Common</t>
        </is>
      </c>
      <c r="P163" t="n">
        <v>316</v>
      </c>
    </row>
    <row r="164">
      <c r="A164" t="inlineStr">
        <is>
          <t>Candle (dozen)</t>
        </is>
      </c>
      <c r="B164" t="inlineStr">
        <is>
          <t>Miscellaneous Trappings</t>
        </is>
      </c>
      <c r="E164" t="inlineStr">
        <is>
          <t>1/–</t>
        </is>
      </c>
      <c r="F164" t="n">
        <v>12</v>
      </c>
      <c r="G164" t="n">
        <v>0</v>
      </c>
      <c r="H164" t="inlineStr">
        <is>
          <t>Common</t>
        </is>
      </c>
      <c r="P164" t="n">
        <v>316</v>
      </c>
    </row>
    <row r="165">
      <c r="A165" t="inlineStr">
        <is>
          <t>Canvas Tarp</t>
        </is>
      </c>
      <c r="B165" t="inlineStr">
        <is>
          <t>Miscellaneous Trappings</t>
        </is>
      </c>
      <c r="E165" t="inlineStr">
        <is>
          <t>8/–</t>
        </is>
      </c>
      <c r="F165" t="n">
        <v>96</v>
      </c>
      <c r="G165" t="n">
        <v>1</v>
      </c>
      <c r="H165" t="inlineStr">
        <is>
          <t>Common</t>
        </is>
      </c>
      <c r="P165" t="n">
        <v>316</v>
      </c>
    </row>
    <row r="166">
      <c r="A166" t="inlineStr">
        <is>
          <t>Chalk</t>
        </is>
      </c>
      <c r="B166" t="inlineStr">
        <is>
          <t>Miscellaneous Trappings</t>
        </is>
      </c>
      <c r="E166" t="inlineStr">
        <is>
          <t>10d</t>
        </is>
      </c>
      <c r="F166" t="n">
        <v>10</v>
      </c>
      <c r="G166" t="n">
        <v>0</v>
      </c>
      <c r="H166" t="inlineStr">
        <is>
          <t>Common</t>
        </is>
      </c>
      <c r="P166" t="n">
        <v>316</v>
      </c>
    </row>
    <row r="167">
      <c r="A167" t="inlineStr">
        <is>
          <t>Charcoal stick</t>
        </is>
      </c>
      <c r="B167" t="inlineStr">
        <is>
          <t>Miscellaneous Trappings</t>
        </is>
      </c>
      <c r="E167" t="inlineStr">
        <is>
          <t>10d</t>
        </is>
      </c>
      <c r="F167" t="n">
        <v>10</v>
      </c>
      <c r="G167" t="n">
        <v>0</v>
      </c>
      <c r="H167" t="inlineStr">
        <is>
          <t>Common</t>
        </is>
      </c>
      <c r="P167" t="n">
        <v>316</v>
      </c>
    </row>
    <row r="168">
      <c r="A168" t="inlineStr">
        <is>
          <t>Cooking Pot</t>
        </is>
      </c>
      <c r="B168" t="inlineStr">
        <is>
          <t>Miscellaneous Trappings</t>
        </is>
      </c>
      <c r="E168" t="inlineStr">
        <is>
          <t>8/–</t>
        </is>
      </c>
      <c r="F168" t="n">
        <v>96</v>
      </c>
      <c r="G168" t="n">
        <v>1</v>
      </c>
      <c r="H168" t="inlineStr">
        <is>
          <t>Common</t>
        </is>
      </c>
      <c r="P168" t="n">
        <v>316</v>
      </c>
    </row>
    <row r="169">
      <c r="A169" t="inlineStr">
        <is>
          <t>Cup</t>
        </is>
      </c>
      <c r="B169" t="inlineStr">
        <is>
          <t>Miscellaneous Trappings</t>
        </is>
      </c>
      <c r="E169" t="inlineStr">
        <is>
          <t>8d</t>
        </is>
      </c>
      <c r="F169" t="n">
        <v>8</v>
      </c>
      <c r="G169" t="n">
        <v>0</v>
      </c>
      <c r="H169" t="inlineStr">
        <is>
          <t>Common</t>
        </is>
      </c>
      <c r="P169" t="n">
        <v>316</v>
      </c>
    </row>
    <row r="170">
      <c r="A170" t="inlineStr">
        <is>
          <t>Cutlery</t>
        </is>
      </c>
      <c r="B170" t="inlineStr">
        <is>
          <t>Miscellaneous Trappings</t>
        </is>
      </c>
      <c r="E170" t="inlineStr">
        <is>
          <t>3/6</t>
        </is>
      </c>
      <c r="F170" t="n">
        <v>42</v>
      </c>
      <c r="G170" t="n">
        <v>0</v>
      </c>
      <c r="H170" t="inlineStr">
        <is>
          <t>Common</t>
        </is>
      </c>
      <c r="P170" t="n">
        <v>316</v>
      </c>
    </row>
    <row r="171">
      <c r="A171" t="inlineStr">
        <is>
          <t>Deck of Cards</t>
        </is>
      </c>
      <c r="B171" t="inlineStr">
        <is>
          <t>Miscellaneous Trappings</t>
        </is>
      </c>
      <c r="E171" t="inlineStr">
        <is>
          <t>1/–</t>
        </is>
      </c>
      <c r="F171" t="n">
        <v>12</v>
      </c>
      <c r="G171" t="n">
        <v>0</v>
      </c>
      <c r="H171" t="inlineStr">
        <is>
          <t>Common</t>
        </is>
      </c>
      <c r="P171" t="n">
        <v>316</v>
      </c>
    </row>
    <row r="172">
      <c r="A172" t="inlineStr">
        <is>
          <t>Dice</t>
        </is>
      </c>
      <c r="B172" t="inlineStr">
        <is>
          <t>Miscellaneous Trappings</t>
        </is>
      </c>
      <c r="E172" t="inlineStr">
        <is>
          <t>10d</t>
        </is>
      </c>
      <c r="F172" t="n">
        <v>10</v>
      </c>
      <c r="G172" t="n">
        <v>0</v>
      </c>
      <c r="H172" t="inlineStr">
        <is>
          <t>Common</t>
        </is>
      </c>
      <c r="P172" t="n">
        <v>316</v>
      </c>
    </row>
    <row r="173">
      <c r="A173" t="inlineStr">
        <is>
          <t>Doll</t>
        </is>
      </c>
      <c r="B173" t="inlineStr">
        <is>
          <t>Miscellaneous Trappings</t>
        </is>
      </c>
      <c r="E173" t="inlineStr">
        <is>
          <t>2/–</t>
        </is>
      </c>
      <c r="F173" t="n">
        <v>24</v>
      </c>
      <c r="G173" t="n">
        <v>0</v>
      </c>
      <c r="H173" t="inlineStr">
        <is>
          <t>Common</t>
        </is>
      </c>
      <c r="P173" t="n">
        <v>316</v>
      </c>
    </row>
    <row r="174">
      <c r="A174" t="inlineStr">
        <is>
          <t>Feinkopf Lamp</t>
        </is>
      </c>
      <c r="B174" t="inlineStr">
        <is>
          <t>Miscellaneous Trappings</t>
        </is>
      </c>
      <c r="E174" t="inlineStr">
        <is>
          <t>2 GC</t>
        </is>
      </c>
      <c r="F174" t="n">
        <v>480</v>
      </c>
      <c r="G174" t="n">
        <v>1</v>
      </c>
      <c r="H174" t="inlineStr">
        <is>
          <t>Rare</t>
        </is>
      </c>
      <c r="P174" t="n">
        <v>316</v>
      </c>
    </row>
    <row r="175">
      <c r="A175" t="inlineStr">
        <is>
          <t>Grappling Hook</t>
        </is>
      </c>
      <c r="B175" t="inlineStr">
        <is>
          <t>Miscellaneous Trappings</t>
        </is>
      </c>
      <c r="E175" t="inlineStr">
        <is>
          <t>1 GC –/10</t>
        </is>
      </c>
      <c r="F175" t="n">
        <v>250</v>
      </c>
      <c r="G175" t="n">
        <v>1</v>
      </c>
      <c r="H175" t="inlineStr">
        <is>
          <t>Scarce</t>
        </is>
      </c>
      <c r="P175" t="n">
        <v>316</v>
      </c>
    </row>
    <row r="176">
      <c r="A176" t="inlineStr">
        <is>
          <t>Instrument</t>
        </is>
      </c>
      <c r="B176" t="inlineStr">
        <is>
          <t>Miscellaneous Trappings</t>
        </is>
      </c>
      <c r="E176" t="inlineStr">
        <is>
          <t>2 GC</t>
        </is>
      </c>
      <c r="F176" t="n">
        <v>480</v>
      </c>
      <c r="G176" t="n">
        <v>1</v>
      </c>
      <c r="H176" t="inlineStr">
        <is>
          <t>Rare</t>
        </is>
      </c>
      <c r="P176" t="n">
        <v>316</v>
      </c>
    </row>
    <row r="177">
      <c r="A177" t="inlineStr">
        <is>
          <t>Lamp Oil</t>
        </is>
      </c>
      <c r="B177" t="inlineStr">
        <is>
          <t>Miscellaneous Trappings</t>
        </is>
      </c>
      <c r="E177" t="inlineStr">
        <is>
          <t>2/–</t>
        </is>
      </c>
      <c r="F177" t="n">
        <v>24</v>
      </c>
      <c r="G177" t="n">
        <v>0</v>
      </c>
      <c r="H177" t="inlineStr">
        <is>
          <t>Common</t>
        </is>
      </c>
      <c r="P177" t="n">
        <v>316</v>
      </c>
    </row>
    <row r="178">
      <c r="A178" t="inlineStr">
        <is>
          <t>Lantern</t>
        </is>
      </c>
      <c r="B178" t="inlineStr">
        <is>
          <t>Miscellaneous Trappings</t>
        </is>
      </c>
      <c r="E178" t="inlineStr">
        <is>
          <t>12/–</t>
        </is>
      </c>
      <c r="F178" t="n">
        <v>144</v>
      </c>
      <c r="G178" t="n">
        <v>1</v>
      </c>
      <c r="H178" t="inlineStr">
        <is>
          <t>Common</t>
        </is>
      </c>
      <c r="P178" t="n">
        <v>316</v>
      </c>
    </row>
    <row r="179">
      <c r="A179" t="inlineStr">
        <is>
          <t>Match</t>
        </is>
      </c>
      <c r="B179" t="inlineStr">
        <is>
          <t>Miscellaneous Trappings</t>
        </is>
      </c>
      <c r="E179" t="inlineStr">
        <is>
          <t>1d</t>
        </is>
      </c>
      <c r="F179" t="n">
        <v>1</v>
      </c>
      <c r="G179" t="n">
        <v>0</v>
      </c>
      <c r="H179" t="inlineStr">
        <is>
          <t>Common</t>
        </is>
      </c>
      <c r="P179" t="n">
        <v>316</v>
      </c>
    </row>
    <row r="180">
      <c r="A180" t="inlineStr">
        <is>
          <t>Pan</t>
        </is>
      </c>
      <c r="B180" t="inlineStr">
        <is>
          <t>Miscellaneous Trappings</t>
        </is>
      </c>
      <c r="E180" t="inlineStr">
        <is>
          <t>7/6</t>
        </is>
      </c>
      <c r="F180" t="n">
        <v>90</v>
      </c>
      <c r="G180" t="n">
        <v>1</v>
      </c>
      <c r="H180" t="inlineStr">
        <is>
          <t>Common</t>
        </is>
      </c>
      <c r="P180" t="n">
        <v>316</v>
      </c>
    </row>
    <row r="181">
      <c r="A181" t="inlineStr">
        <is>
          <t>Pipe and Tobacco</t>
        </is>
      </c>
      <c r="B181" t="inlineStr">
        <is>
          <t>Miscellaneous Trappings</t>
        </is>
      </c>
      <c r="E181" t="inlineStr">
        <is>
          <t>3/4</t>
        </is>
      </c>
      <c r="F181" t="n">
        <v>40</v>
      </c>
      <c r="G181" t="n">
        <v>0</v>
      </c>
      <c r="H181" t="inlineStr">
        <is>
          <t>Scarce</t>
        </is>
      </c>
      <c r="P181" t="n">
        <v>316</v>
      </c>
    </row>
    <row r="182">
      <c r="A182" t="inlineStr">
        <is>
          <t>Placard</t>
        </is>
      </c>
      <c r="B182" t="inlineStr">
        <is>
          <t>Miscellaneous Trappings</t>
        </is>
      </c>
      <c r="E182" t="inlineStr">
        <is>
          <t>1/–</t>
        </is>
      </c>
      <c r="F182" t="n">
        <v>12</v>
      </c>
      <c r="G182" t="n">
        <v>2</v>
      </c>
      <c r="H182" t="inlineStr">
        <is>
          <t>Common</t>
        </is>
      </c>
      <c r="P182" t="n">
        <v>316</v>
      </c>
    </row>
    <row r="183">
      <c r="A183" t="inlineStr">
        <is>
          <t>Plate</t>
        </is>
      </c>
      <c r="B183" t="inlineStr">
        <is>
          <t>Miscellaneous Trappings</t>
        </is>
      </c>
      <c r="E183" t="inlineStr">
        <is>
          <t>1/–</t>
        </is>
      </c>
      <c r="F183" t="n">
        <v>12</v>
      </c>
      <c r="G183" t="n">
        <v>0</v>
      </c>
      <c r="H183" t="inlineStr">
        <is>
          <t>Common</t>
        </is>
      </c>
      <c r="P183" t="n">
        <v>316</v>
      </c>
    </row>
    <row r="184">
      <c r="A184" t="inlineStr">
        <is>
          <t>Rags</t>
        </is>
      </c>
      <c r="B184" t="inlineStr">
        <is>
          <t>Miscellaneous Trappings</t>
        </is>
      </c>
      <c r="E184" t="inlineStr">
        <is>
          <t>1d</t>
        </is>
      </c>
      <c r="F184" t="n">
        <v>1</v>
      </c>
      <c r="G184" t="n">
        <v>0</v>
      </c>
      <c r="H184" t="inlineStr">
        <is>
          <t>Common</t>
        </is>
      </c>
      <c r="P184" t="n">
        <v>316</v>
      </c>
    </row>
    <row r="185">
      <c r="A185" t="inlineStr">
        <is>
          <t>Rope, 10 yards</t>
        </is>
      </c>
      <c r="B185" t="inlineStr">
        <is>
          <t>Miscellaneous Trappings</t>
        </is>
      </c>
      <c r="E185" t="inlineStr">
        <is>
          <t>8/4</t>
        </is>
      </c>
      <c r="F185" t="n">
        <v>100</v>
      </c>
      <c r="G185" t="n">
        <v>1</v>
      </c>
      <c r="H185" t="inlineStr">
        <is>
          <t>Common</t>
        </is>
      </c>
      <c r="P185" t="n">
        <v>316</v>
      </c>
    </row>
    <row r="186">
      <c r="A186" t="inlineStr">
        <is>
          <t>Storm Lantern</t>
        </is>
      </c>
      <c r="B186" t="inlineStr">
        <is>
          <t>Miscellaneous Trappings</t>
        </is>
      </c>
      <c r="E186" t="inlineStr">
        <is>
          <t>1 GC</t>
        </is>
      </c>
      <c r="F186" t="n">
        <v>240</v>
      </c>
      <c r="G186" t="n">
        <v>1</v>
      </c>
      <c r="H186" t="inlineStr">
        <is>
          <t>Scarce</t>
        </is>
      </c>
      <c r="P186" t="n">
        <v>316</v>
      </c>
    </row>
    <row r="187">
      <c r="A187" t="inlineStr">
        <is>
          <t>Tent</t>
        </is>
      </c>
      <c r="B187" t="inlineStr">
        <is>
          <t>Miscellaneous Trappings</t>
        </is>
      </c>
      <c r="E187" t="inlineStr">
        <is>
          <t>3 GC</t>
        </is>
      </c>
      <c r="F187" t="n">
        <v>720</v>
      </c>
      <c r="G187" t="n">
        <v>2</v>
      </c>
      <c r="H187" t="inlineStr">
        <is>
          <t>Scarce</t>
        </is>
      </c>
      <c r="P187" t="n">
        <v>316</v>
      </c>
    </row>
    <row r="188">
      <c r="A188" t="inlineStr">
        <is>
          <t>Tinderbox</t>
        </is>
      </c>
      <c r="B188" t="inlineStr">
        <is>
          <t>Miscellaneous Trappings</t>
        </is>
      </c>
      <c r="E188" t="inlineStr">
        <is>
          <t>4/2</t>
        </is>
      </c>
      <c r="F188" t="n">
        <v>50</v>
      </c>
      <c r="G188" t="n">
        <v>0</v>
      </c>
      <c r="H188" t="inlineStr">
        <is>
          <t>Common</t>
        </is>
      </c>
      <c r="P188" t="n">
        <v>316</v>
      </c>
    </row>
    <row r="189">
      <c r="A189" t="inlineStr">
        <is>
          <t>Torch (stick and rags)</t>
        </is>
      </c>
      <c r="B189" t="inlineStr">
        <is>
          <t>Miscellaneous Trappings</t>
        </is>
      </c>
      <c r="E189" t="inlineStr">
        <is>
          <t>2d</t>
        </is>
      </c>
      <c r="F189" t="n">
        <v>2</v>
      </c>
      <c r="G189" t="n">
        <v>1</v>
      </c>
      <c r="H189" t="inlineStr">
        <is>
          <t>Common</t>
        </is>
      </c>
      <c r="P189" t="n">
        <v>316</v>
      </c>
    </row>
    <row r="190">
      <c r="A190" t="inlineStr">
        <is>
          <t>Backpack</t>
        </is>
      </c>
      <c r="B190" t="inlineStr">
        <is>
          <t>Packs and Containers</t>
        </is>
      </c>
      <c r="E190" t="inlineStr">
        <is>
          <t>5/–</t>
        </is>
      </c>
      <c r="F190" t="n">
        <v>60</v>
      </c>
      <c r="G190" t="n">
        <v>2</v>
      </c>
      <c r="H190" t="inlineStr">
        <is>
          <t>Common</t>
        </is>
      </c>
      <c r="I190" t="n">
        <v>4</v>
      </c>
      <c r="P190" t="n">
        <v>308</v>
      </c>
    </row>
    <row r="191">
      <c r="A191" t="inlineStr">
        <is>
          <t>Barrel</t>
        </is>
      </c>
      <c r="B191" t="inlineStr">
        <is>
          <t>Packs and Containers</t>
        </is>
      </c>
      <c r="E191" t="inlineStr">
        <is>
          <t>8/–</t>
        </is>
      </c>
      <c r="F191" t="n">
        <v>96</v>
      </c>
      <c r="G191" t="n">
        <v>6</v>
      </c>
      <c r="H191" t="inlineStr">
        <is>
          <t>Common</t>
        </is>
      </c>
      <c r="I191" t="n">
        <v>12</v>
      </c>
      <c r="P191" t="n">
        <v>308</v>
      </c>
    </row>
    <row r="192">
      <c r="A192" t="inlineStr">
        <is>
          <t>Cask</t>
        </is>
      </c>
      <c r="B192" t="inlineStr">
        <is>
          <t>Packs and Containers</t>
        </is>
      </c>
      <c r="E192" t="inlineStr">
        <is>
          <t>3/–</t>
        </is>
      </c>
      <c r="F192" t="n">
        <v>36</v>
      </c>
      <c r="G192" t="n">
        <v>2</v>
      </c>
      <c r="H192" t="inlineStr">
        <is>
          <t>Common</t>
        </is>
      </c>
      <c r="I192" t="n">
        <v>4</v>
      </c>
      <c r="P192" t="n">
        <v>308</v>
      </c>
    </row>
    <row r="193">
      <c r="A193" t="inlineStr">
        <is>
          <t>Flask</t>
        </is>
      </c>
      <c r="B193" t="inlineStr">
        <is>
          <t>Packs and Containers</t>
        </is>
      </c>
      <c r="E193" t="inlineStr">
        <is>
          <t>5/–</t>
        </is>
      </c>
      <c r="F193" t="n">
        <v>60</v>
      </c>
      <c r="G193" t="n">
        <v>0</v>
      </c>
      <c r="H193" t="inlineStr">
        <is>
          <t>Common</t>
        </is>
      </c>
      <c r="I193" t="n">
        <v>0</v>
      </c>
      <c r="P193" t="n">
        <v>308</v>
      </c>
    </row>
    <row r="194">
      <c r="A194" t="inlineStr">
        <is>
          <t>Jug</t>
        </is>
      </c>
      <c r="B194" t="inlineStr">
        <is>
          <t>Packs and Containers</t>
        </is>
      </c>
      <c r="E194" t="inlineStr">
        <is>
          <t>3/–</t>
        </is>
      </c>
      <c r="F194" t="n">
        <v>36</v>
      </c>
      <c r="G194" t="n">
        <v>1</v>
      </c>
      <c r="H194" t="inlineStr">
        <is>
          <t>Common</t>
        </is>
      </c>
      <c r="I194" t="n">
        <v>1</v>
      </c>
      <c r="P194" t="n">
        <v>308</v>
      </c>
    </row>
    <row r="195">
      <c r="A195" t="inlineStr">
        <is>
          <t>Pewter Stein</t>
        </is>
      </c>
      <c r="B195" t="inlineStr">
        <is>
          <t>Packs and Containers</t>
        </is>
      </c>
      <c r="E195" t="inlineStr">
        <is>
          <t>7/–</t>
        </is>
      </c>
      <c r="F195" t="n">
        <v>84</v>
      </c>
      <c r="G195" t="n">
        <v>0</v>
      </c>
      <c r="H195" t="inlineStr">
        <is>
          <t>Common</t>
        </is>
      </c>
      <c r="I195" t="n">
        <v>0</v>
      </c>
      <c r="P195" t="n">
        <v>308</v>
      </c>
    </row>
    <row r="196">
      <c r="A196" t="inlineStr">
        <is>
          <t>Pouch</t>
        </is>
      </c>
      <c r="B196" t="inlineStr">
        <is>
          <t>Packs and Containers</t>
        </is>
      </c>
      <c r="E196" t="inlineStr">
        <is>
          <t>4d</t>
        </is>
      </c>
      <c r="F196" t="n">
        <v>4</v>
      </c>
      <c r="G196" t="n">
        <v>0</v>
      </c>
      <c r="H196" t="inlineStr">
        <is>
          <t>Common</t>
        </is>
      </c>
      <c r="I196" t="n">
        <v>1</v>
      </c>
      <c r="P196" t="n">
        <v>308</v>
      </c>
    </row>
    <row r="197">
      <c r="A197" t="inlineStr">
        <is>
          <t>Sack</t>
        </is>
      </c>
      <c r="B197" t="inlineStr">
        <is>
          <t>Packs and Containers</t>
        </is>
      </c>
      <c r="E197" t="inlineStr">
        <is>
          <t>1/–</t>
        </is>
      </c>
      <c r="F197" t="n">
        <v>12</v>
      </c>
      <c r="G197" t="n">
        <v>2</v>
      </c>
      <c r="H197" t="inlineStr">
        <is>
          <t>Common</t>
        </is>
      </c>
      <c r="I197" t="n">
        <v>4</v>
      </c>
      <c r="P197" t="n">
        <v>308</v>
      </c>
    </row>
    <row r="198">
      <c r="A198" t="inlineStr">
        <is>
          <t>Sack, Large</t>
        </is>
      </c>
      <c r="B198" t="inlineStr">
        <is>
          <t>Packs and Containers</t>
        </is>
      </c>
      <c r="E198" t="inlineStr">
        <is>
          <t>1/6</t>
        </is>
      </c>
      <c r="F198" t="n">
        <v>18</v>
      </c>
      <c r="G198" t="n">
        <v>3</v>
      </c>
      <c r="H198" t="inlineStr">
        <is>
          <t>Common</t>
        </is>
      </c>
      <c r="I198" t="n">
        <v>6</v>
      </c>
      <c r="P198" t="n">
        <v>308</v>
      </c>
    </row>
    <row r="199">
      <c r="A199" t="inlineStr">
        <is>
          <t>Saddlebags</t>
        </is>
      </c>
      <c r="B199" t="inlineStr">
        <is>
          <t>Packs and Containers</t>
        </is>
      </c>
      <c r="E199" t="inlineStr">
        <is>
          <t>18/–</t>
        </is>
      </c>
      <c r="F199" t="n">
        <v>216</v>
      </c>
      <c r="G199" t="n">
        <v>4</v>
      </c>
      <c r="H199" t="inlineStr">
        <is>
          <t>Common</t>
        </is>
      </c>
      <c r="I199" t="n">
        <v>8</v>
      </c>
      <c r="P199" t="n">
        <v>308</v>
      </c>
    </row>
    <row r="200">
      <c r="A200" t="inlineStr">
        <is>
          <t>Scroll Case</t>
        </is>
      </c>
      <c r="B200" t="inlineStr">
        <is>
          <t>Packs and Containers</t>
        </is>
      </c>
      <c r="E200" t="inlineStr">
        <is>
          <t>16/–</t>
        </is>
      </c>
      <c r="F200" t="n">
        <v>192</v>
      </c>
      <c r="G200" t="n">
        <v>0</v>
      </c>
      <c r="H200" t="inlineStr">
        <is>
          <t>Scarce</t>
        </is>
      </c>
      <c r="I200" t="n">
        <v>0</v>
      </c>
      <c r="P200" t="n">
        <v>308</v>
      </c>
    </row>
    <row r="201">
      <c r="A201" t="inlineStr">
        <is>
          <t>Sling Bag</t>
        </is>
      </c>
      <c r="B201" t="inlineStr">
        <is>
          <t>Packs and Containers</t>
        </is>
      </c>
      <c r="E201" t="inlineStr">
        <is>
          <t>1/–</t>
        </is>
      </c>
      <c r="F201" t="n">
        <v>12</v>
      </c>
      <c r="G201" t="n">
        <v>1</v>
      </c>
      <c r="H201" t="inlineStr">
        <is>
          <t>Common</t>
        </is>
      </c>
      <c r="I201" t="n">
        <v>2</v>
      </c>
      <c r="P201" t="n">
        <v>308</v>
      </c>
    </row>
    <row r="202">
      <c r="A202" t="inlineStr">
        <is>
          <t>Waterskin</t>
        </is>
      </c>
      <c r="B202" t="inlineStr">
        <is>
          <t>Packs and Containers</t>
        </is>
      </c>
      <c r="E202" t="inlineStr">
        <is>
          <t>1/–</t>
        </is>
      </c>
      <c r="F202" t="n">
        <v>12</v>
      </c>
      <c r="G202" t="n">
        <v>1</v>
      </c>
      <c r="H202" t="inlineStr">
        <is>
          <t>Common</t>
        </is>
      </c>
      <c r="I202" t="n">
        <v>1</v>
      </c>
      <c r="P202" t="n">
        <v>308</v>
      </c>
    </row>
    <row r="203">
      <c r="A203" t="inlineStr">
        <is>
          <t>Adder root</t>
        </is>
      </c>
      <c r="B203" t="inlineStr">
        <is>
          <t>Poisons</t>
        </is>
      </c>
      <c r="E203" t="inlineStr">
        <is>
          <t>5d</t>
        </is>
      </c>
      <c r="F203" t="n">
        <v>5</v>
      </c>
      <c r="G203" t="n">
        <v>0</v>
      </c>
      <c r="H203" t="inlineStr">
        <is>
          <t>Scarce</t>
        </is>
      </c>
      <c r="P203" t="n">
        <v>313</v>
      </c>
    </row>
    <row r="204">
      <c r="A204" t="inlineStr">
        <is>
          <t>Black lotus (leaves)</t>
        </is>
      </c>
      <c r="B204" t="inlineStr">
        <is>
          <t>Poisons</t>
        </is>
      </c>
      <c r="E204" t="inlineStr">
        <is>
          <t>6/–</t>
        </is>
      </c>
      <c r="F204" t="n">
        <v>72</v>
      </c>
      <c r="G204" t="n">
        <v>0</v>
      </c>
      <c r="H204" t="inlineStr">
        <is>
          <t>Exotic</t>
        </is>
      </c>
      <c r="P204" t="n">
        <v>313</v>
      </c>
    </row>
    <row r="205">
      <c r="A205" t="inlineStr">
        <is>
          <t>Black lotus (sap)</t>
        </is>
      </c>
      <c r="B205" t="inlineStr">
        <is>
          <t>Poisons</t>
        </is>
      </c>
      <c r="E205" t="inlineStr">
        <is>
          <t>20 GC</t>
        </is>
      </c>
      <c r="F205" t="n">
        <v>4800</v>
      </c>
      <c r="G205" t="n">
        <v>0</v>
      </c>
      <c r="H205" t="inlineStr">
        <is>
          <t>Exotic</t>
        </is>
      </c>
      <c r="P205" t="n">
        <v>313</v>
      </c>
    </row>
    <row r="206">
      <c r="A206" t="inlineStr">
        <is>
          <t>Daemon's tand</t>
        </is>
      </c>
      <c r="B206" t="inlineStr">
        <is>
          <t>Poisons</t>
        </is>
      </c>
      <c r="E206" t="inlineStr">
        <is>
          <t>5d</t>
        </is>
      </c>
      <c r="F206" t="n">
        <v>5</v>
      </c>
      <c r="G206" t="n">
        <v>0</v>
      </c>
      <c r="H206" t="inlineStr">
        <is>
          <t>Scarce</t>
        </is>
      </c>
      <c r="P206" t="n">
        <v>313</v>
      </c>
    </row>
    <row r="207">
      <c r="A207" t="inlineStr">
        <is>
          <t>Dwarf bile</t>
        </is>
      </c>
      <c r="B207" t="inlineStr">
        <is>
          <t>Poisons</t>
        </is>
      </c>
      <c r="E207" t="inlineStr">
        <is>
          <t>4/–</t>
        </is>
      </c>
      <c r="F207" t="n">
        <v>48</v>
      </c>
      <c r="G207" t="n">
        <v>0</v>
      </c>
      <c r="H207" t="inlineStr">
        <is>
          <t>Exotic</t>
        </is>
      </c>
      <c r="P207" t="n">
        <v>313</v>
      </c>
    </row>
    <row r="208">
      <c r="A208" t="inlineStr">
        <is>
          <t>Juck</t>
        </is>
      </c>
      <c r="B208" t="inlineStr">
        <is>
          <t>Poisons</t>
        </is>
      </c>
      <c r="E208" t="inlineStr">
        <is>
          <t>1/–</t>
        </is>
      </c>
      <c r="F208" t="n">
        <v>12</v>
      </c>
      <c r="G208" t="n">
        <v>0</v>
      </c>
      <c r="H208" t="inlineStr">
        <is>
          <t>Rare</t>
        </is>
      </c>
      <c r="P208" t="n">
        <v>313</v>
      </c>
    </row>
    <row r="209">
      <c r="A209" t="inlineStr">
        <is>
          <t>Rat poison</t>
        </is>
      </c>
      <c r="B209" t="inlineStr">
        <is>
          <t>Poisons</t>
        </is>
      </c>
      <c r="E209" t="inlineStr">
        <is>
          <t>4d</t>
        </is>
      </c>
      <c r="F209" t="n">
        <v>4</v>
      </c>
      <c r="G209" t="n">
        <v>0</v>
      </c>
      <c r="H209" t="inlineStr">
        <is>
          <t>Common</t>
        </is>
      </c>
      <c r="P209" t="n">
        <v>313</v>
      </c>
    </row>
    <row r="210">
      <c r="A210" t="inlineStr">
        <is>
          <t>Schlafenkraut</t>
        </is>
      </c>
      <c r="B210" t="inlineStr">
        <is>
          <t>Poisons</t>
        </is>
      </c>
      <c r="E210" t="inlineStr">
        <is>
          <t>1/–</t>
        </is>
      </c>
      <c r="F210" t="n">
        <v>12</v>
      </c>
      <c r="G210" t="n">
        <v>0</v>
      </c>
      <c r="H210" t="inlineStr">
        <is>
          <t>Rare</t>
        </is>
      </c>
      <c r="P210" t="n">
        <v>313</v>
      </c>
    </row>
    <row r="211">
      <c r="A211" t="inlineStr">
        <is>
          <t>Spider spittle</t>
        </is>
      </c>
      <c r="B211" t="inlineStr">
        <is>
          <t>Poisons</t>
        </is>
      </c>
      <c r="E211" t="inlineStr">
        <is>
          <t>3/–</t>
        </is>
      </c>
      <c r="F211" t="n">
        <v>36</v>
      </c>
      <c r="G211" t="n">
        <v>0</v>
      </c>
      <c r="H211" t="inlineStr">
        <is>
          <t>Rare</t>
        </is>
      </c>
      <c r="P211" t="n">
        <v>313</v>
      </c>
    </row>
    <row r="212">
      <c r="A212" t="inlineStr">
        <is>
          <t>Weirdroot</t>
        </is>
      </c>
      <c r="B212" t="inlineStr">
        <is>
          <t>Poisons</t>
        </is>
      </c>
      <c r="E212" t="inlineStr">
        <is>
          <t>4/–</t>
        </is>
      </c>
      <c r="F212" t="n">
        <v>48</v>
      </c>
      <c r="G212" t="n">
        <v>0</v>
      </c>
      <c r="H212" t="inlineStr">
        <is>
          <t>Rare</t>
        </is>
      </c>
      <c r="P212" t="n">
        <v>313</v>
      </c>
    </row>
    <row r="213">
      <c r="A213" t="inlineStr">
        <is>
          <t>Eyepatch</t>
        </is>
      </c>
      <c r="B213" t="inlineStr">
        <is>
          <t>Prosthetics</t>
        </is>
      </c>
      <c r="E213" t="inlineStr">
        <is>
          <t>6d</t>
        </is>
      </c>
      <c r="F213" t="n">
        <v>6</v>
      </c>
      <c r="G213" t="n">
        <v>0</v>
      </c>
      <c r="H213" t="inlineStr">
        <is>
          <t>Common</t>
        </is>
      </c>
      <c r="P213" t="n">
        <v>315</v>
      </c>
    </row>
    <row r="214">
      <c r="A214" t="inlineStr">
        <is>
          <t>False Eye</t>
        </is>
      </c>
      <c r="B214" t="inlineStr">
        <is>
          <t>Prosthetics</t>
        </is>
      </c>
      <c r="E214" t="inlineStr">
        <is>
          <t>1 GC</t>
        </is>
      </c>
      <c r="F214" t="n">
        <v>240</v>
      </c>
      <c r="G214" t="n">
        <v>0</v>
      </c>
      <c r="H214" t="inlineStr">
        <is>
          <t>Rare</t>
        </is>
      </c>
      <c r="P214" t="n">
        <v>315</v>
      </c>
    </row>
    <row r="215">
      <c r="A215" t="inlineStr">
        <is>
          <t>False Leg</t>
        </is>
      </c>
      <c r="B215" t="inlineStr">
        <is>
          <t>Prosthetics</t>
        </is>
      </c>
      <c r="E215" t="inlineStr">
        <is>
          <t>16/–</t>
        </is>
      </c>
      <c r="F215" t="n">
        <v>192</v>
      </c>
      <c r="G215" t="n">
        <v>2</v>
      </c>
      <c r="H215" t="inlineStr">
        <is>
          <t>Scarce</t>
        </is>
      </c>
      <c r="P215" t="n">
        <v>315</v>
      </c>
    </row>
    <row r="216">
      <c r="A216" t="inlineStr">
        <is>
          <t>Gilded Nose</t>
        </is>
      </c>
      <c r="B216" t="inlineStr">
        <is>
          <t>Prosthetics</t>
        </is>
      </c>
      <c r="E216" t="inlineStr">
        <is>
          <t>18/–</t>
        </is>
      </c>
      <c r="F216" t="n">
        <v>216</v>
      </c>
      <c r="G216" t="n">
        <v>0</v>
      </c>
      <c r="H216" t="inlineStr">
        <is>
          <t>Scarce</t>
        </is>
      </c>
      <c r="P216" t="n">
        <v>315</v>
      </c>
    </row>
    <row r="217">
      <c r="A217" t="inlineStr">
        <is>
          <t>Hook</t>
        </is>
      </c>
      <c r="B217" t="inlineStr">
        <is>
          <t>Prosthetics</t>
        </is>
      </c>
      <c r="E217" t="inlineStr">
        <is>
          <t>3/4</t>
        </is>
      </c>
      <c r="F217" t="n">
        <v>40</v>
      </c>
      <c r="G217" t="n">
        <v>1</v>
      </c>
      <c r="H217" t="inlineStr">
        <is>
          <t>Common</t>
        </is>
      </c>
      <c r="P217" t="n">
        <v>315</v>
      </c>
    </row>
    <row r="218">
      <c r="A218" t="inlineStr">
        <is>
          <t>Wooden Teeth</t>
        </is>
      </c>
      <c r="B218" t="inlineStr">
        <is>
          <t>Prosthetics</t>
        </is>
      </c>
      <c r="E218" t="inlineStr">
        <is>
          <t>10/–</t>
        </is>
      </c>
      <c r="F218" t="n">
        <v>120</v>
      </c>
      <c r="G218" t="n">
        <v>0</v>
      </c>
      <c r="H218" t="inlineStr">
        <is>
          <t>Rare</t>
        </is>
      </c>
      <c r="P218" t="n">
        <v>315</v>
      </c>
    </row>
    <row r="219">
      <c r="A219" t="inlineStr">
        <is>
          <t>Abacus</t>
        </is>
      </c>
      <c r="B219" t="inlineStr">
        <is>
          <t>Tools and Kits</t>
        </is>
      </c>
      <c r="E219" t="inlineStr">
        <is>
          <t>3/4</t>
        </is>
      </c>
      <c r="F219" t="n">
        <v>40</v>
      </c>
      <c r="G219" t="n">
        <v>0</v>
      </c>
      <c r="H219" t="inlineStr">
        <is>
          <t>Scarce</t>
        </is>
      </c>
      <c r="P219" t="n">
        <v>310</v>
      </c>
    </row>
    <row r="220">
      <c r="A220" t="inlineStr">
        <is>
          <t>Animal Trap</t>
        </is>
      </c>
      <c r="B220" t="inlineStr">
        <is>
          <t>Tools and Kits</t>
        </is>
      </c>
      <c r="E220" t="inlineStr">
        <is>
          <t>2/6</t>
        </is>
      </c>
      <c r="F220" t="n">
        <v>30</v>
      </c>
      <c r="G220" t="n">
        <v>1</v>
      </c>
      <c r="H220" t="inlineStr">
        <is>
          <t>Common</t>
        </is>
      </c>
      <c r="P220" t="n">
        <v>310</v>
      </c>
    </row>
    <row r="221">
      <c r="A221" t="inlineStr">
        <is>
          <t>Antitoxin Kit</t>
        </is>
      </c>
      <c r="B221" t="inlineStr">
        <is>
          <t>Tools and Kits</t>
        </is>
      </c>
      <c r="E221" t="inlineStr">
        <is>
          <t>3 GC</t>
        </is>
      </c>
      <c r="F221" t="n">
        <v>720</v>
      </c>
      <c r="G221" t="n">
        <v>0</v>
      </c>
      <c r="H221" t="inlineStr">
        <is>
          <t>Scarce</t>
        </is>
      </c>
      <c r="P221" t="n">
        <v>310</v>
      </c>
    </row>
    <row r="222">
      <c r="A222" t="inlineStr">
        <is>
          <t>Boat Hook</t>
        </is>
      </c>
      <c r="B222" t="inlineStr">
        <is>
          <t>Tools and Kits</t>
        </is>
      </c>
      <c r="E222" t="inlineStr">
        <is>
          <t>5/–</t>
        </is>
      </c>
      <c r="F222" t="n">
        <v>60</v>
      </c>
      <c r="G222" t="n">
        <v>1</v>
      </c>
      <c r="H222" t="inlineStr">
        <is>
          <t>Common</t>
        </is>
      </c>
      <c r="P222" t="n">
        <v>310</v>
      </c>
    </row>
    <row r="223">
      <c r="A223" t="inlineStr">
        <is>
          <t>Broom</t>
        </is>
      </c>
      <c r="B223" t="inlineStr">
        <is>
          <t>Tools and Kits</t>
        </is>
      </c>
      <c r="E223" t="inlineStr">
        <is>
          <t>10d</t>
        </is>
      </c>
      <c r="F223" t="n">
        <v>10</v>
      </c>
      <c r="G223" t="n">
        <v>2</v>
      </c>
      <c r="H223" t="inlineStr">
        <is>
          <t>Common</t>
        </is>
      </c>
      <c r="P223" t="n">
        <v>310</v>
      </c>
    </row>
    <row r="224">
      <c r="A224" t="inlineStr">
        <is>
          <t>Bucket</t>
        </is>
      </c>
      <c r="B224" t="inlineStr">
        <is>
          <t>Tools and Kits</t>
        </is>
      </c>
      <c r="E224" t="inlineStr">
        <is>
          <t>2/6</t>
        </is>
      </c>
      <c r="F224" t="n">
        <v>30</v>
      </c>
      <c r="G224" t="n">
        <v>1</v>
      </c>
      <c r="H224" t="inlineStr">
        <is>
          <t>Common</t>
        </is>
      </c>
      <c r="P224" t="n">
        <v>310</v>
      </c>
    </row>
    <row r="225">
      <c r="A225" t="inlineStr">
        <is>
          <t>Chisel</t>
        </is>
      </c>
      <c r="B225" t="inlineStr">
        <is>
          <t>Tools and Kits</t>
        </is>
      </c>
      <c r="E225" t="inlineStr">
        <is>
          <t>4/2</t>
        </is>
      </c>
      <c r="F225" t="n">
        <v>50</v>
      </c>
      <c r="G225" t="n">
        <v>0</v>
      </c>
      <c r="H225" t="inlineStr">
        <is>
          <t>Common</t>
        </is>
      </c>
      <c r="P225" t="n">
        <v>310</v>
      </c>
    </row>
    <row r="226">
      <c r="A226" t="inlineStr">
        <is>
          <t>Comb</t>
        </is>
      </c>
      <c r="B226" t="inlineStr">
        <is>
          <t>Tools and Kits</t>
        </is>
      </c>
      <c r="E226" t="inlineStr">
        <is>
          <t>10d</t>
        </is>
      </c>
      <c r="F226" t="n">
        <v>10</v>
      </c>
      <c r="G226" t="n">
        <v>0</v>
      </c>
      <c r="H226" t="inlineStr">
        <is>
          <t>Common</t>
        </is>
      </c>
      <c r="P226" t="n">
        <v>310</v>
      </c>
    </row>
    <row r="227">
      <c r="A227" t="inlineStr">
        <is>
          <t>Crowbar</t>
        </is>
      </c>
      <c r="B227" t="inlineStr">
        <is>
          <t>Tools and Kits</t>
        </is>
      </c>
      <c r="E227" t="inlineStr">
        <is>
          <t>2/6</t>
        </is>
      </c>
      <c r="F227" t="n">
        <v>30</v>
      </c>
      <c r="G227" t="n">
        <v>1</v>
      </c>
      <c r="H227" t="inlineStr">
        <is>
          <t>Common</t>
        </is>
      </c>
      <c r="P227" t="n">
        <v>310</v>
      </c>
    </row>
    <row r="228">
      <c r="A228" t="inlineStr">
        <is>
          <t>Crutch</t>
        </is>
      </c>
      <c r="B228" t="inlineStr">
        <is>
          <t>Tools and Kits</t>
        </is>
      </c>
      <c r="E228" t="inlineStr">
        <is>
          <t>3/–</t>
        </is>
      </c>
      <c r="F228" t="n">
        <v>36</v>
      </c>
      <c r="G228" t="n">
        <v>2</v>
      </c>
      <c r="H228" t="inlineStr">
        <is>
          <t>Common</t>
        </is>
      </c>
      <c r="P228" t="n">
        <v>310</v>
      </c>
    </row>
    <row r="229">
      <c r="A229" t="inlineStr">
        <is>
          <t>Disguise Kit</t>
        </is>
      </c>
      <c r="B229" t="inlineStr">
        <is>
          <t>Tools and Kits</t>
        </is>
      </c>
      <c r="E229" t="inlineStr">
        <is>
          <t>6/6</t>
        </is>
      </c>
      <c r="F229" t="n">
        <v>78</v>
      </c>
      <c r="G229" t="n">
        <v>0</v>
      </c>
      <c r="H229" t="inlineStr">
        <is>
          <t>Scarce</t>
        </is>
      </c>
      <c r="P229" t="n">
        <v>310</v>
      </c>
    </row>
    <row r="230">
      <c r="A230" t="inlineStr">
        <is>
          <t>Ear Pick</t>
        </is>
      </c>
      <c r="B230" t="inlineStr">
        <is>
          <t>Tools and Kits</t>
        </is>
      </c>
      <c r="E230" t="inlineStr">
        <is>
          <t>2/–</t>
        </is>
      </c>
      <c r="F230" t="n">
        <v>24</v>
      </c>
      <c r="G230" t="n">
        <v>0</v>
      </c>
      <c r="H230" t="inlineStr">
        <is>
          <t>Scarce</t>
        </is>
      </c>
      <c r="P230" t="n">
        <v>310</v>
      </c>
    </row>
    <row r="231">
      <c r="A231" t="inlineStr">
        <is>
          <t>Fish Hooks (12)</t>
        </is>
      </c>
      <c r="B231" t="inlineStr">
        <is>
          <t>Tools and Kits</t>
        </is>
      </c>
      <c r="E231" t="inlineStr">
        <is>
          <t>1/–</t>
        </is>
      </c>
      <c r="F231" t="n">
        <v>12</v>
      </c>
      <c r="G231" t="n">
        <v>0</v>
      </c>
      <c r="H231" t="inlineStr">
        <is>
          <t>Common</t>
        </is>
      </c>
      <c r="P231" t="n">
        <v>310</v>
      </c>
    </row>
    <row r="232">
      <c r="A232" t="inlineStr">
        <is>
          <t>Floor Brush</t>
        </is>
      </c>
      <c r="B232" t="inlineStr">
        <is>
          <t>Tools and Kits</t>
        </is>
      </c>
      <c r="E232" t="inlineStr">
        <is>
          <t>1/6</t>
        </is>
      </c>
      <c r="F232" t="n">
        <v>18</v>
      </c>
      <c r="G232" t="n">
        <v>0</v>
      </c>
      <c r="H232" t="inlineStr">
        <is>
          <t>Common</t>
        </is>
      </c>
      <c r="P232" t="n">
        <v>310</v>
      </c>
    </row>
    <row r="233">
      <c r="A233" t="inlineStr">
        <is>
          <t>Gavel</t>
        </is>
      </c>
      <c r="B233" t="inlineStr">
        <is>
          <t>Tools and Kits</t>
        </is>
      </c>
      <c r="E233" t="inlineStr">
        <is>
          <t>1 GC</t>
        </is>
      </c>
      <c r="F233" t="n">
        <v>240</v>
      </c>
      <c r="G233" t="n">
        <v>0</v>
      </c>
      <c r="H233" t="inlineStr">
        <is>
          <t>Scarce</t>
        </is>
      </c>
      <c r="P233" t="n">
        <v>310</v>
      </c>
    </row>
    <row r="234">
      <c r="A234" t="inlineStr">
        <is>
          <t>Hammer</t>
        </is>
      </c>
      <c r="B234" t="inlineStr">
        <is>
          <t>Tools and Kits</t>
        </is>
      </c>
      <c r="E234" t="inlineStr">
        <is>
          <t>3/–</t>
        </is>
      </c>
      <c r="F234" t="n">
        <v>36</v>
      </c>
      <c r="G234" t="n">
        <v>0</v>
      </c>
      <c r="H234" t="inlineStr">
        <is>
          <t>Common</t>
        </is>
      </c>
      <c r="P234" t="n">
        <v>310</v>
      </c>
    </row>
    <row r="235">
      <c r="A235" t="inlineStr">
        <is>
          <t>Hand Mirror</t>
        </is>
      </c>
      <c r="B235" t="inlineStr">
        <is>
          <t>Tools and Kits</t>
        </is>
      </c>
      <c r="E235" t="inlineStr">
        <is>
          <t>1 GC 1/6</t>
        </is>
      </c>
      <c r="F235" t="n">
        <v>258</v>
      </c>
      <c r="G235" t="n">
        <v>0</v>
      </c>
      <c r="H235" t="inlineStr">
        <is>
          <t>Rare</t>
        </is>
      </c>
      <c r="P235" t="n">
        <v>310</v>
      </c>
    </row>
    <row r="236">
      <c r="A236" t="inlineStr">
        <is>
          <t>Hoe</t>
        </is>
      </c>
      <c r="B236" t="inlineStr">
        <is>
          <t>Tools and Kits</t>
        </is>
      </c>
      <c r="E236" t="inlineStr">
        <is>
          <t>4/–</t>
        </is>
      </c>
      <c r="F236" t="n">
        <v>48</v>
      </c>
      <c r="G236" t="n">
        <v>2</v>
      </c>
      <c r="H236" t="inlineStr">
        <is>
          <t>Common</t>
        </is>
      </c>
      <c r="P236" t="n">
        <v>310</v>
      </c>
    </row>
    <row r="237">
      <c r="A237" t="inlineStr">
        <is>
          <t>Key</t>
        </is>
      </c>
      <c r="B237" t="inlineStr">
        <is>
          <t>Tools and Kits</t>
        </is>
      </c>
      <c r="E237" t="inlineStr">
        <is>
          <t>1 GC</t>
        </is>
      </c>
      <c r="F237" t="n">
        <v>240</v>
      </c>
      <c r="G237" t="n">
        <v>0</v>
      </c>
      <c r="H237" t="inlineStr">
        <is>
          <t>Common</t>
        </is>
      </c>
      <c r="P237" t="n">
        <v>310</v>
      </c>
    </row>
    <row r="238">
      <c r="A238" t="inlineStr">
        <is>
          <t>Knife (tool)</t>
        </is>
      </c>
      <c r="B238" t="inlineStr">
        <is>
          <t>Tools and Kits</t>
        </is>
      </c>
      <c r="E238" t="inlineStr">
        <is>
          <t>8/–</t>
        </is>
      </c>
      <c r="F238" t="n">
        <v>96</v>
      </c>
      <c r="G238" t="n">
        <v>0</v>
      </c>
      <c r="H238" t="inlineStr">
        <is>
          <t>Common</t>
        </is>
      </c>
      <c r="P238" t="n">
        <v>310</v>
      </c>
    </row>
    <row r="239">
      <c r="A239" t="inlineStr">
        <is>
          <t>Lockpicks</t>
        </is>
      </c>
      <c r="B239" t="inlineStr">
        <is>
          <t>Tools and Kits</t>
        </is>
      </c>
      <c r="E239" t="inlineStr">
        <is>
          <t>2 GC</t>
        </is>
      </c>
      <c r="F239" t="n">
        <v>480</v>
      </c>
      <c r="G239" t="n">
        <v>0</v>
      </c>
      <c r="H239" t="inlineStr">
        <is>
          <t>Scarce</t>
        </is>
      </c>
      <c r="P239" t="n">
        <v>310</v>
      </c>
    </row>
    <row r="240">
      <c r="A240" t="inlineStr">
        <is>
          <t>Manacles</t>
        </is>
      </c>
      <c r="B240" t="inlineStr">
        <is>
          <t>Tools and Kits</t>
        </is>
      </c>
      <c r="E240" t="inlineStr">
        <is>
          <t>2 GC</t>
        </is>
      </c>
      <c r="F240" t="n">
        <v>480</v>
      </c>
      <c r="G240" t="n">
        <v>0</v>
      </c>
      <c r="H240" t="inlineStr">
        <is>
          <t>Scarce</t>
        </is>
      </c>
      <c r="P240" t="n">
        <v>310</v>
      </c>
    </row>
    <row r="241">
      <c r="A241" t="inlineStr">
        <is>
          <t>Mantrap</t>
        </is>
      </c>
      <c r="B241" t="inlineStr">
        <is>
          <t>Tools and Kits</t>
        </is>
      </c>
      <c r="E241" t="inlineStr">
        <is>
          <t>2 GC</t>
        </is>
      </c>
      <c r="F241" t="n">
        <v>480</v>
      </c>
      <c r="G241" t="n">
        <v>2</v>
      </c>
      <c r="H241" t="inlineStr">
        <is>
          <t>Scarce</t>
        </is>
      </c>
      <c r="P241" t="n">
        <v>310</v>
      </c>
    </row>
    <row r="242">
      <c r="A242" t="inlineStr">
        <is>
          <t>Mop</t>
        </is>
      </c>
      <c r="B242" t="inlineStr">
        <is>
          <t>Tools and Kits</t>
        </is>
      </c>
      <c r="E242" t="inlineStr">
        <is>
          <t>1/–</t>
        </is>
      </c>
      <c r="F242" t="n">
        <v>12</v>
      </c>
      <c r="G242" t="n">
        <v>2</v>
      </c>
      <c r="H242" t="inlineStr">
        <is>
          <t>Common</t>
        </is>
      </c>
      <c r="P242" t="n">
        <v>310</v>
      </c>
    </row>
    <row r="243">
      <c r="A243" t="inlineStr">
        <is>
          <t>Nails (12)</t>
        </is>
      </c>
      <c r="B243" t="inlineStr">
        <is>
          <t>Tools and Kits</t>
        </is>
      </c>
      <c r="E243" t="inlineStr">
        <is>
          <t>2d</t>
        </is>
      </c>
      <c r="F243" t="n">
        <v>2</v>
      </c>
      <c r="G243" t="n">
        <v>0</v>
      </c>
      <c r="H243" t="inlineStr">
        <is>
          <t>Common</t>
        </is>
      </c>
      <c r="P243" t="n">
        <v>310</v>
      </c>
    </row>
    <row r="244">
      <c r="A244" t="inlineStr">
        <is>
          <t>Paint Brush</t>
        </is>
      </c>
      <c r="B244" t="inlineStr">
        <is>
          <t>Tools and Kits</t>
        </is>
      </c>
      <c r="E244" t="inlineStr">
        <is>
          <t>4/–</t>
        </is>
      </c>
      <c r="F244" t="n">
        <v>48</v>
      </c>
      <c r="G244" t="n">
        <v>0</v>
      </c>
      <c r="H244" t="inlineStr">
        <is>
          <t>Common</t>
        </is>
      </c>
      <c r="P244" t="n">
        <v>310</v>
      </c>
    </row>
    <row r="245">
      <c r="A245" t="inlineStr">
        <is>
          <t>Pestle and Mortar</t>
        </is>
      </c>
      <c r="B245" t="inlineStr">
        <is>
          <t>Tools and Kits</t>
        </is>
      </c>
      <c r="E245" t="inlineStr">
        <is>
          <t>14/–</t>
        </is>
      </c>
      <c r="F245" t="n">
        <v>168</v>
      </c>
      <c r="G245" t="n">
        <v>0</v>
      </c>
      <c r="H245" t="inlineStr">
        <is>
          <t>Common</t>
        </is>
      </c>
      <c r="P245" t="n">
        <v>310</v>
      </c>
    </row>
    <row r="246">
      <c r="A246" t="inlineStr">
        <is>
          <t>Pick (tool)</t>
        </is>
      </c>
      <c r="B246" t="inlineStr">
        <is>
          <t>Tools and Kits</t>
        </is>
      </c>
      <c r="E246" t="inlineStr">
        <is>
          <t>2 GC</t>
        </is>
      </c>
      <c r="F246" t="n">
        <v>480</v>
      </c>
      <c r="G246" t="n">
        <v>1</v>
      </c>
      <c r="H246" t="inlineStr">
        <is>
          <t>Scarce</t>
        </is>
      </c>
      <c r="P246" t="n">
        <v>310</v>
      </c>
    </row>
    <row r="247">
      <c r="A247" t="inlineStr">
        <is>
          <t>Pole (3 yards)</t>
        </is>
      </c>
      <c r="B247" t="inlineStr">
        <is>
          <t>Tools and Kits</t>
        </is>
      </c>
      <c r="E247" t="inlineStr">
        <is>
          <t>5/–</t>
        </is>
      </c>
      <c r="F247" t="n">
        <v>60</v>
      </c>
      <c r="G247" t="n">
        <v>3</v>
      </c>
      <c r="H247" t="inlineStr">
        <is>
          <t>Common</t>
        </is>
      </c>
      <c r="P247" t="n">
        <v>310</v>
      </c>
    </row>
    <row r="248">
      <c r="A248" t="inlineStr">
        <is>
          <t>Quill Pen</t>
        </is>
      </c>
      <c r="B248" t="inlineStr">
        <is>
          <t>Tools and Kits</t>
        </is>
      </c>
      <c r="E248" t="inlineStr">
        <is>
          <t>3/–</t>
        </is>
      </c>
      <c r="F248" t="n">
        <v>36</v>
      </c>
      <c r="G248" t="n">
        <v>0</v>
      </c>
      <c r="H248" t="inlineStr">
        <is>
          <t>Common</t>
        </is>
      </c>
      <c r="P248" t="n">
        <v>310</v>
      </c>
    </row>
    <row r="249">
      <c r="A249" t="inlineStr">
        <is>
          <t>Rake</t>
        </is>
      </c>
      <c r="B249" t="inlineStr">
        <is>
          <t>Tools and Kits</t>
        </is>
      </c>
      <c r="E249" t="inlineStr">
        <is>
          <t>4/6</t>
        </is>
      </c>
      <c r="F249" t="n">
        <v>54</v>
      </c>
      <c r="G249" t="n">
        <v>2</v>
      </c>
      <c r="H249" t="inlineStr">
        <is>
          <t>Common</t>
        </is>
      </c>
      <c r="P249" t="n">
        <v>310</v>
      </c>
    </row>
    <row r="250">
      <c r="A250" t="inlineStr">
        <is>
          <t>Reading Lens</t>
        </is>
      </c>
      <c r="B250" t="inlineStr">
        <is>
          <t>Tools and Kits</t>
        </is>
      </c>
      <c r="E250" t="inlineStr">
        <is>
          <t>3 GC</t>
        </is>
      </c>
      <c r="F250" t="n">
        <v>720</v>
      </c>
      <c r="G250" t="n">
        <v>0</v>
      </c>
      <c r="H250" t="inlineStr">
        <is>
          <t>Rare</t>
        </is>
      </c>
      <c r="P250" t="n">
        <v>310</v>
      </c>
    </row>
    <row r="251">
      <c r="A251" t="inlineStr">
        <is>
          <t>Saw</t>
        </is>
      </c>
      <c r="B251" t="inlineStr">
        <is>
          <t>Tools and Kits</t>
        </is>
      </c>
      <c r="E251" t="inlineStr">
        <is>
          <t>6/–</t>
        </is>
      </c>
      <c r="F251" t="n">
        <v>72</v>
      </c>
      <c r="G251" t="n">
        <v>1</v>
      </c>
      <c r="H251" t="inlineStr">
        <is>
          <t>Common</t>
        </is>
      </c>
      <c r="P251" t="n">
        <v>310</v>
      </c>
    </row>
    <row r="252">
      <c r="A252" t="inlineStr">
        <is>
          <t>Sickle</t>
        </is>
      </c>
      <c r="B252" t="inlineStr">
        <is>
          <t>Tools and Kits</t>
        </is>
      </c>
      <c r="E252" t="inlineStr">
        <is>
          <t>1 GC</t>
        </is>
      </c>
      <c r="F252" t="n">
        <v>240</v>
      </c>
      <c r="G252" t="n">
        <v>1</v>
      </c>
      <c r="H252" t="inlineStr">
        <is>
          <t>Common</t>
        </is>
      </c>
      <c r="P252" t="n">
        <v>310</v>
      </c>
    </row>
    <row r="253">
      <c r="A253" t="inlineStr">
        <is>
          <t>Spade</t>
        </is>
      </c>
      <c r="B253" t="inlineStr">
        <is>
          <t>Tools and Kits</t>
        </is>
      </c>
      <c r="E253" t="inlineStr">
        <is>
          <t>8/–</t>
        </is>
      </c>
      <c r="F253" t="n">
        <v>96</v>
      </c>
      <c r="G253" t="n">
        <v>2</v>
      </c>
      <c r="H253" t="inlineStr">
        <is>
          <t>Common</t>
        </is>
      </c>
      <c r="P253" t="n">
        <v>310</v>
      </c>
    </row>
    <row r="254">
      <c r="A254" t="inlineStr">
        <is>
          <t>Spike</t>
        </is>
      </c>
      <c r="B254" t="inlineStr">
        <is>
          <t>Tools and Kits</t>
        </is>
      </c>
      <c r="E254" t="inlineStr">
        <is>
          <t>1/–</t>
        </is>
      </c>
      <c r="F254" t="n">
        <v>12</v>
      </c>
      <c r="G254" t="n">
        <v>0</v>
      </c>
      <c r="H254" t="inlineStr">
        <is>
          <t>Common</t>
        </is>
      </c>
      <c r="P254" t="n">
        <v>310</v>
      </c>
    </row>
    <row r="255">
      <c r="A255" t="inlineStr">
        <is>
          <t>Stamp, engraved</t>
        </is>
      </c>
      <c r="B255" t="inlineStr">
        <is>
          <t>Tools and Kits</t>
        </is>
      </c>
      <c r="E255" t="inlineStr">
        <is>
          <t>5 GC</t>
        </is>
      </c>
      <c r="F255" t="n">
        <v>1200</v>
      </c>
      <c r="G255" t="n">
        <v>0</v>
      </c>
      <c r="H255" t="inlineStr">
        <is>
          <t>Scarce</t>
        </is>
      </c>
      <c r="P255" t="n">
        <v>310</v>
      </c>
    </row>
    <row r="256">
      <c r="A256" t="inlineStr">
        <is>
          <t>Telescope</t>
        </is>
      </c>
      <c r="B256" t="inlineStr">
        <is>
          <t>Tools and Kits</t>
        </is>
      </c>
      <c r="E256" t="inlineStr">
        <is>
          <t>5 GC</t>
        </is>
      </c>
      <c r="F256" t="n">
        <v>1200</v>
      </c>
      <c r="G256" t="n">
        <v>0</v>
      </c>
      <c r="H256" t="inlineStr">
        <is>
          <t>Rare</t>
        </is>
      </c>
      <c r="P256" t="n">
        <v>310</v>
      </c>
    </row>
    <row r="257">
      <c r="A257" t="inlineStr">
        <is>
          <t>Tongs, steel</t>
        </is>
      </c>
      <c r="B257" t="inlineStr">
        <is>
          <t>Tools and Kits</t>
        </is>
      </c>
      <c r="E257" t="inlineStr">
        <is>
          <t>16/–</t>
        </is>
      </c>
      <c r="F257" t="n">
        <v>192</v>
      </c>
      <c r="G257" t="n">
        <v>0</v>
      </c>
      <c r="H257" t="inlineStr">
        <is>
          <t>Common</t>
        </is>
      </c>
      <c r="P257" t="n">
        <v>310</v>
      </c>
    </row>
    <row r="258">
      <c r="A258" t="inlineStr">
        <is>
          <t>Tweezers</t>
        </is>
      </c>
      <c r="B258" t="inlineStr">
        <is>
          <t>Tools and Kits</t>
        </is>
      </c>
      <c r="E258" t="inlineStr">
        <is>
          <t>1/–</t>
        </is>
      </c>
      <c r="F258" t="n">
        <v>12</v>
      </c>
      <c r="G258" t="n">
        <v>0</v>
      </c>
      <c r="H258" t="inlineStr">
        <is>
          <t>Scarce</t>
        </is>
      </c>
      <c r="P258" t="n">
        <v>310</v>
      </c>
    </row>
    <row r="259">
      <c r="A259" t="inlineStr">
        <is>
          <t>Writing Kit</t>
        </is>
      </c>
      <c r="B259" t="inlineStr">
        <is>
          <t>Tools and Kits</t>
        </is>
      </c>
      <c r="E259" t="inlineStr">
        <is>
          <t>4 GC</t>
        </is>
      </c>
      <c r="F259" t="n">
        <v>960</v>
      </c>
      <c r="G259" t="n">
        <v>0</v>
      </c>
      <c r="H259" t="inlineStr">
        <is>
          <t>Scarce</t>
        </is>
      </c>
      <c r="P259" t="n">
        <v>310</v>
      </c>
    </row>
    <row r="260">
      <c r="A260" t="inlineStr">
        <is>
          <t>Trade Tools</t>
        </is>
      </c>
      <c r="B260" t="inlineStr">
        <is>
          <t>Trade Tools and Workshops</t>
        </is>
      </c>
      <c r="E260" t="inlineStr">
        <is>
          <t>3 GC</t>
        </is>
      </c>
      <c r="F260" t="n">
        <v>720</v>
      </c>
      <c r="G260" t="n">
        <v>1</v>
      </c>
      <c r="H260" t="inlineStr">
        <is>
          <t>Scarce</t>
        </is>
      </c>
      <c r="P260" t="n">
        <v>312</v>
      </c>
    </row>
    <row r="261">
      <c r="A261" t="inlineStr">
        <is>
          <t>Workshop</t>
        </is>
      </c>
      <c r="B261" t="inlineStr">
        <is>
          <t>Trade Tools and Workshops</t>
        </is>
      </c>
      <c r="E261" t="inlineStr">
        <is>
          <t>80 GC</t>
        </is>
      </c>
      <c r="F261" t="n">
        <v>19200</v>
      </c>
      <c r="G261" t="n">
        <v>0</v>
      </c>
      <c r="H261" t="inlineStr">
        <is>
          <t>Rare</t>
        </is>
      </c>
      <c r="P261" t="n">
        <v>312</v>
      </c>
    </row>
  </sheetData>
  <autoFilter ref="A1:P261"/>
  <pageMargins left="0.75" right="0.75" top="1" bottom="1" header="0.5" footer="0.5"/>
</worksheet>
</file>

<file path=xl/worksheets/sheet11.xml><?xml version="1.0" encoding="utf-8"?>
<worksheet xmlns="http://schemas.openxmlformats.org/spreadsheetml/2006/main">
  <sheetPr>
    <tabColor rgb="00808080"/>
    <outlinePr summaryBelow="1" summaryRight="1"/>
    <pageSetUpPr/>
  </sheetPr>
  <dimension ref="A1:I220"/>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16" customWidth="1" min="3" max="3"/>
    <col width="5" customWidth="1" min="4" max="4"/>
    <col width="18" customWidth="1" min="5" max="5"/>
    <col width="18" customWidth="1" min="6" max="6"/>
    <col width="16" customWidth="1" min="7" max="7"/>
    <col width="100" customWidth="1" min="8" max="8"/>
    <col width="6" customWidth="1" min="9" max="9"/>
  </cols>
  <sheetData>
    <row r="1">
      <c r="A1" s="37" t="inlineStr">
        <is>
          <t>Name</t>
        </is>
      </c>
      <c r="B1" s="37" t="inlineStr">
        <is>
          <t>Type</t>
        </is>
      </c>
      <c r="C1" s="37" t="inlineStr">
        <is>
          <t>Lore / God</t>
        </is>
      </c>
      <c r="D1" s="37" t="inlineStr">
        <is>
          <t>CN</t>
        </is>
      </c>
      <c r="E1" s="37" t="inlineStr">
        <is>
          <t>Range</t>
        </is>
      </c>
      <c r="F1" s="37" t="inlineStr">
        <is>
          <t>Target</t>
        </is>
      </c>
      <c r="G1" s="37" t="inlineStr">
        <is>
          <t>Duration</t>
        </is>
      </c>
      <c r="H1" s="37" t="inlineStr">
        <is>
          <t>Description</t>
        </is>
      </c>
      <c r="I1" s="37" t="inlineStr">
        <is>
          <t>Page</t>
        </is>
      </c>
    </row>
    <row r="2">
      <c r="A2" t="inlineStr">
        <is>
          <t>Animal Friend</t>
        </is>
      </c>
      <c r="B2" t="inlineStr">
        <is>
          <t>Petty</t>
        </is>
      </c>
      <c r="C2" t="inlineStr">
        <is>
          <t>Petty</t>
        </is>
      </c>
      <c r="D2" t="inlineStr">
        <is>
          <t>0</t>
        </is>
      </c>
      <c r="E2" t="inlineStr">
        <is>
          <t>1 yard</t>
        </is>
      </c>
      <c r="F2" t="inlineStr">
        <is>
          <t>1</t>
        </is>
      </c>
      <c r="G2" t="inlineStr">
        <is>
          <t>1 hour</t>
        </is>
      </c>
      <c r="H2" t="inlineStr">
        <is>
          <t>You make friends with a creature that is smaller than you and possesses the Bestial Creature Trait. The animal trusts you completely and regards you as a friend.</t>
        </is>
      </c>
      <c r="I2" t="n">
        <v>240</v>
      </c>
    </row>
    <row r="3">
      <c r="A3" t="inlineStr">
        <is>
          <t>Bearings</t>
        </is>
      </c>
      <c r="B3" t="inlineStr">
        <is>
          <t>Petty</t>
        </is>
      </c>
      <c r="C3" t="inlineStr">
        <is>
          <t>Petty</t>
        </is>
      </c>
      <c r="D3" t="inlineStr">
        <is>
          <t>0</t>
        </is>
      </c>
      <c r="E3" t="inlineStr">
        <is>
          <t>You</t>
        </is>
      </c>
      <c r="F3" t="inlineStr">
        <is>
          <t>You</t>
        </is>
      </c>
      <c r="G3" t="inlineStr">
        <is>
          <t>Instant</t>
        </is>
      </c>
      <c r="H3" t="inlineStr">
        <is>
          <t>You sense the influx of the Winds of Magic from their source. You know which direction north is.</t>
        </is>
      </c>
      <c r="I3" t="n">
        <v>240</v>
      </c>
    </row>
    <row r="4">
      <c r="A4" t="inlineStr">
        <is>
          <t>Careful Step</t>
        </is>
      </c>
      <c r="B4" t="inlineStr">
        <is>
          <t>Petty</t>
        </is>
      </c>
      <c r="C4" t="inlineStr">
        <is>
          <t>Petty</t>
        </is>
      </c>
      <c r="D4" t="inlineStr">
        <is>
          <t>0</t>
        </is>
      </c>
      <c r="E4" t="inlineStr">
        <is>
          <t>You</t>
        </is>
      </c>
      <c r="F4" t="inlineStr">
        <is>
          <t>You</t>
        </is>
      </c>
      <c r="G4" t="inlineStr">
        <is>
          <t>Agility minutes</t>
        </is>
      </c>
      <c r="H4" t="inlineStr">
        <is>
          <t>The magic flowing through your feet ensures any organic matter you tread upon remains undamaged: twigs do not break, grass springs back to its original position, and even delicate flowers are unharmed. Those seeking to use the Track Skill to pursue you through rural terrain suffer a -3 SL penalty to their Tests.</t>
        </is>
      </c>
      <c r="I4" t="n">
        <v>240</v>
      </c>
    </row>
    <row r="5">
      <c r="A5" t="inlineStr">
        <is>
          <t>Conserve</t>
        </is>
      </c>
      <c r="B5" t="inlineStr">
        <is>
          <t>Petty</t>
        </is>
      </c>
      <c r="C5" t="inlineStr">
        <is>
          <t>Petty</t>
        </is>
      </c>
      <c r="D5" t="inlineStr">
        <is>
          <t>0</t>
        </is>
      </c>
      <c r="E5" t="inlineStr">
        <is>
          <t>1 yard</t>
        </is>
      </c>
      <c r="F5" t="inlineStr">
        <is>
          <t>Special</t>
        </is>
      </c>
      <c r="G5" t="inlineStr">
        <is>
          <t>Willpower Bonus days</t>
        </is>
      </c>
      <c r="H5" t="inlineStr">
        <is>
          <t>You preserve up to a day's worth of rations. During this time they will not rot, develop mould, or go stale, although they can still be harmed by external factors, such as getting wet or being burned or poisoned.</t>
        </is>
      </c>
      <c r="I5" t="n">
        <v>240</v>
      </c>
    </row>
    <row r="6">
      <c r="A6" t="inlineStr">
        <is>
          <t>Dart</t>
        </is>
      </c>
      <c r="B6" t="inlineStr">
        <is>
          <t>Petty</t>
        </is>
      </c>
      <c r="C6" t="inlineStr">
        <is>
          <t>Petty</t>
        </is>
      </c>
      <c r="D6" t="inlineStr">
        <is>
          <t>0</t>
        </is>
      </c>
      <c r="E6" t="inlineStr">
        <is>
          <t>Willpower yards</t>
        </is>
      </c>
      <c r="F6" t="inlineStr">
        <is>
          <t>1</t>
        </is>
      </c>
      <c r="G6" t="inlineStr">
        <is>
          <t>Instant</t>
        </is>
      </c>
      <c r="H6" t="inlineStr">
        <is>
          <t>You cause a small dart of magical energy to fly from your fingers. This is a magic missile with a Damage of +0.</t>
        </is>
      </c>
      <c r="I6" t="n">
        <v>240</v>
      </c>
    </row>
    <row r="7">
      <c r="A7" t="inlineStr">
        <is>
          <t>Dazzle</t>
        </is>
      </c>
      <c r="B7" t="inlineStr">
        <is>
          <t>Petty</t>
        </is>
      </c>
      <c r="C7" t="inlineStr">
        <is>
          <t>Petty</t>
        </is>
      </c>
      <c r="D7" t="inlineStr">
        <is>
          <t>0</t>
        </is>
      </c>
      <c r="E7" t="inlineStr">
        <is>
          <t>Touch</t>
        </is>
      </c>
      <c r="F7" t="inlineStr">
        <is>
          <t>1</t>
        </is>
      </c>
      <c r="G7" t="inlineStr">
        <is>
          <t>Willpower Bonus Rounds</t>
        </is>
      </c>
      <c r="H7" t="inlineStr">
        <is>
          <t>The target gains 1 Blinded Condition, and gains 1 Blinded Condition at the start of each Round for the duration of the Spell.</t>
        </is>
      </c>
      <c r="I7" t="n">
        <v>240</v>
      </c>
    </row>
    <row r="8">
      <c r="A8" t="inlineStr">
        <is>
          <t>Drain</t>
        </is>
      </c>
      <c r="B8" t="inlineStr">
        <is>
          <t>Petty</t>
        </is>
      </c>
      <c r="C8" t="inlineStr">
        <is>
          <t>Petty</t>
        </is>
      </c>
      <c r="D8" t="inlineStr">
        <is>
          <t>0</t>
        </is>
      </c>
      <c r="E8" t="inlineStr">
        <is>
          <t>Touch</t>
        </is>
      </c>
      <c r="F8" t="inlineStr">
        <is>
          <t>1</t>
        </is>
      </c>
      <c r="G8" t="inlineStr">
        <is>
          <t>Instant</t>
        </is>
      </c>
      <c r="H8" t="inlineStr">
        <is>
          <t>You touch your target, draining their life. This counts as a magic missile with Damage +0 that ignores Armour Points. You then heal 1 Wound.</t>
        </is>
      </c>
      <c r="I8" t="n">
        <v>240</v>
      </c>
    </row>
    <row r="9">
      <c r="A9" t="inlineStr">
        <is>
          <t>Eavesdrop</t>
        </is>
      </c>
      <c r="B9" t="inlineStr">
        <is>
          <t>Petty</t>
        </is>
      </c>
      <c r="C9" t="inlineStr">
        <is>
          <t>Petty</t>
        </is>
      </c>
      <c r="D9" t="inlineStr">
        <is>
          <t>0</t>
        </is>
      </c>
      <c r="E9" t="inlineStr">
        <is>
          <t>Initiative yards</t>
        </is>
      </c>
      <c r="F9" t="inlineStr">
        <is>
          <t>1</t>
        </is>
      </c>
      <c r="G9" t="inlineStr">
        <is>
          <t>Willpower Bonus minutes</t>
        </is>
      </c>
      <c r="H9" t="inlineStr">
        <is>
          <t>You can hear what your target says as if you were standing right next to them.</t>
        </is>
      </c>
      <c r="I9" t="n">
        <v>241</v>
      </c>
    </row>
    <row r="10">
      <c r="A10" t="inlineStr">
        <is>
          <t>Gust</t>
        </is>
      </c>
      <c r="B10" t="inlineStr">
        <is>
          <t>Petty</t>
        </is>
      </c>
      <c r="C10" t="inlineStr">
        <is>
          <t>Petty</t>
        </is>
      </c>
      <c r="D10" t="inlineStr">
        <is>
          <t>0</t>
        </is>
      </c>
      <c r="E10" t="inlineStr">
        <is>
          <t>Willpower yards</t>
        </is>
      </c>
      <c r="F10" t="inlineStr">
        <is>
          <t>Special</t>
        </is>
      </c>
      <c r="G10" t="inlineStr">
        <is>
          <t>Instant</t>
        </is>
      </c>
      <c r="H10" t="inlineStr">
        <is>
          <t>You create a brief gust of wind, strong enough to blow out a candle, cause an open door to slam, or blow a few pages to the floor.</t>
        </is>
      </c>
      <c r="I10" t="n">
        <v>241</v>
      </c>
    </row>
    <row r="11">
      <c r="A11" t="inlineStr">
        <is>
          <t>Light</t>
        </is>
      </c>
      <c r="B11" t="inlineStr">
        <is>
          <t>Petty</t>
        </is>
      </c>
      <c r="C11" t="inlineStr">
        <is>
          <t>Petty</t>
        </is>
      </c>
      <c r="D11" t="inlineStr">
        <is>
          <t>0</t>
        </is>
      </c>
      <c r="E11" t="inlineStr">
        <is>
          <t>You</t>
        </is>
      </c>
      <c r="F11" t="inlineStr">
        <is>
          <t>You</t>
        </is>
      </c>
      <c r="G11" t="inlineStr">
        <is>
          <t>Willpower minutes</t>
        </is>
      </c>
      <c r="H11" t="inlineStr">
        <is>
          <t>You create a small light, roughly equivalent to a torch, which glows from your hand, staff, or some other part of your person. While the Spell is active, you may choose to increase the illumination to that of a lantern, or decrease it to that of a candle, if you pass an Average (+2 SL) Willpower Test.</t>
        </is>
      </c>
      <c r="I11" t="n">
        <v>241</v>
      </c>
    </row>
    <row r="12">
      <c r="A12" t="inlineStr">
        <is>
          <t>Magic Flame</t>
        </is>
      </c>
      <c r="B12" t="inlineStr">
        <is>
          <t>Petty</t>
        </is>
      </c>
      <c r="C12" t="inlineStr">
        <is>
          <t>Petty</t>
        </is>
      </c>
      <c r="D12" t="inlineStr">
        <is>
          <t>0</t>
        </is>
      </c>
      <c r="E12" t="inlineStr">
        <is>
          <t>You</t>
        </is>
      </c>
      <c r="F12" t="inlineStr">
        <is>
          <t>You</t>
        </is>
      </c>
      <c r="G12" t="inlineStr">
        <is>
          <t>Willpower Bonus Rounds</t>
        </is>
      </c>
      <c r="H12" t="inlineStr">
        <is>
          <t>You kindle a small flame that flickers to life in the palm of your hand. It will not burn you, but will emit heat and set flammable objects alight, like a natural flame.</t>
        </is>
      </c>
      <c r="I12" t="n">
        <v>241</v>
      </c>
    </row>
    <row r="13">
      <c r="A13" t="inlineStr">
        <is>
          <t>Marsh Lights</t>
        </is>
      </c>
      <c r="B13" t="inlineStr">
        <is>
          <t>Petty</t>
        </is>
      </c>
      <c r="C13" t="inlineStr">
        <is>
          <t>Petty</t>
        </is>
      </c>
      <c r="D13" t="inlineStr">
        <is>
          <t>0</t>
        </is>
      </c>
      <c r="E13" t="inlineStr">
        <is>
          <t>Willpower yards</t>
        </is>
      </c>
      <c r="F13" t="inlineStr">
        <is>
          <t>Special</t>
        </is>
      </c>
      <c r="G13" t="inlineStr">
        <is>
          <t>Willpower minutes</t>
        </is>
      </c>
      <c r="H13" t="inlineStr">
        <is>
          <t>They resemble torches or hooded lanterns. Provided they remain within line of sight, for your Action you may control the lights by passing an Average (+2 SL) Willpower Test; a success allows you to send the lights moving in any direction.</t>
        </is>
      </c>
      <c r="I13" t="n">
        <v>241</v>
      </c>
    </row>
    <row r="14">
      <c r="A14" t="inlineStr">
        <is>
          <t>Murmured Whisper</t>
        </is>
      </c>
      <c r="B14" t="inlineStr">
        <is>
          <t>Petty</t>
        </is>
      </c>
      <c r="C14" t="inlineStr">
        <is>
          <t>Petty</t>
        </is>
      </c>
      <c r="D14" t="inlineStr">
        <is>
          <t>0</t>
        </is>
      </c>
      <c r="E14" t="inlineStr">
        <is>
          <t>Willpower yards</t>
        </is>
      </c>
      <c r="F14" t="inlineStr">
        <is>
          <t>Special</t>
        </is>
      </c>
      <c r="G14" t="inlineStr">
        <is>
          <t>Willpower Bonus Rounds</t>
        </is>
      </c>
      <c r="H14" t="inlineStr">
        <is>
          <t>You cast your voice at a point within Willpower yards, regardless of line of sight. Your voice sounds from this point, and all within earshot will hear it.</t>
        </is>
      </c>
      <c r="I14" t="n">
        <v>241</v>
      </c>
    </row>
    <row r="15">
      <c r="A15" t="inlineStr">
        <is>
          <t>Open Lock</t>
        </is>
      </c>
      <c r="B15" t="inlineStr">
        <is>
          <t>Petty</t>
        </is>
      </c>
      <c r="C15" t="inlineStr">
        <is>
          <t>Petty</t>
        </is>
      </c>
      <c r="D15" t="inlineStr">
        <is>
          <t>0</t>
        </is>
      </c>
      <c r="E15" t="inlineStr">
        <is>
          <t>Touch</t>
        </is>
      </c>
      <c r="F15" t="inlineStr">
        <is>
          <t>1</t>
        </is>
      </c>
      <c r="G15" t="inlineStr">
        <is>
          <t>Instant</t>
        </is>
      </c>
      <c r="H15" t="inlineStr">
        <is>
          <t>One non-magical lock you touch opens.</t>
        </is>
      </c>
      <c r="I15" t="n">
        <v>241</v>
      </c>
    </row>
    <row r="16">
      <c r="A16" t="inlineStr">
        <is>
          <t>Produce Small Animal</t>
        </is>
      </c>
      <c r="B16" t="inlineStr">
        <is>
          <t>Petty</t>
        </is>
      </c>
      <c r="C16" t="inlineStr">
        <is>
          <t>Petty</t>
        </is>
      </c>
      <c r="D16" t="inlineStr">
        <is>
          <t>0</t>
        </is>
      </c>
      <c r="E16" t="inlineStr">
        <is>
          <t>Touch</t>
        </is>
      </c>
      <c r="F16" t="inlineStr">
        <is>
          <t>Special</t>
        </is>
      </c>
      <c r="G16" t="inlineStr">
        <is>
          <t>Instant</t>
        </is>
      </c>
      <c r="H16" t="inlineStr">
        <is>
          <t>You reach into a bag, pocket, or hat, or under a rock, bush or burrow, producing a small animal of a type you would expect to find in the vicinity, such as a rabbit, dove, or rat. If there are no appropriate local animals, the Spell does nothing. The temperament of the animal is not guaranteed.</t>
        </is>
      </c>
      <c r="I16" t="n">
        <v>241</v>
      </c>
    </row>
    <row r="17">
      <c r="A17" t="inlineStr">
        <is>
          <t>Protection from Rain</t>
        </is>
      </c>
      <c r="B17" t="inlineStr">
        <is>
          <t>Petty</t>
        </is>
      </c>
      <c r="C17" t="inlineStr">
        <is>
          <t>Petty</t>
        </is>
      </c>
      <c r="D17" t="inlineStr">
        <is>
          <t>0</t>
        </is>
      </c>
      <c r="E17" t="inlineStr">
        <is>
          <t>You</t>
        </is>
      </c>
      <c r="F17" t="inlineStr">
        <is>
          <t>You</t>
        </is>
      </c>
      <c r="G17" t="inlineStr">
        <is>
          <t>Willpower Bonus hours</t>
        </is>
      </c>
      <c r="H17" t="inlineStr">
        <is>
          <t>You can keep yourself and your possessions dry whatever the weather, unaffected by precipitation. This affects rain, hail, sleet, and snow, and any similar water falling from the heavens, but not standing water.</t>
        </is>
      </c>
      <c r="I17" t="n">
        <v>241</v>
      </c>
    </row>
    <row r="18">
      <c r="A18" t="inlineStr">
        <is>
          <t>Purify Water</t>
        </is>
      </c>
      <c r="B18" t="inlineStr">
        <is>
          <t>Petty</t>
        </is>
      </c>
      <c r="C18" t="inlineStr">
        <is>
          <t>Petty</t>
        </is>
      </c>
      <c r="D18" t="inlineStr">
        <is>
          <t>0</t>
        </is>
      </c>
      <c r="E18" t="inlineStr">
        <is>
          <t>1 yard</t>
        </is>
      </c>
      <c r="F18" t="inlineStr">
        <is>
          <t>Special</t>
        </is>
      </c>
      <c r="G18" t="inlineStr">
        <is>
          <t>Instant</t>
        </is>
      </c>
      <c r="H18" t="inlineStr">
        <is>
          <t>You purify all water within a receptacle, such as a water flask, stein, or jug. All non-magical impurities, such as poison or contaminants are removed, leaving crisp, clear, potable water. If the vessel contains another liquid that is predominantly water — such as ale or wine — this is also purified, turning into delicious, pure, non-alcoholic water.</t>
        </is>
      </c>
      <c r="I18" t="n">
        <v>241</v>
      </c>
    </row>
    <row r="19">
      <c r="A19" t="inlineStr">
        <is>
          <t>Aethyric Armour</t>
        </is>
      </c>
      <c r="B19" t="inlineStr">
        <is>
          <t>Arcane</t>
        </is>
      </c>
      <c r="C19" t="inlineStr">
        <is>
          <t>Arcane</t>
        </is>
      </c>
      <c r="D19" t="inlineStr">
        <is>
          <t>2</t>
        </is>
      </c>
      <c r="E19" t="inlineStr">
        <is>
          <t>You</t>
        </is>
      </c>
      <c r="F19" t="inlineStr">
        <is>
          <t>You</t>
        </is>
      </c>
      <c r="G19" t="inlineStr">
        <is>
          <t>Willpower Bonus Rounds</t>
        </is>
      </c>
      <c r="H19" t="inlineStr">
        <is>
          <t>You gain +1 Armour Point to all Hit Locations as you wrap yourself in a protective swathe of magic.</t>
        </is>
      </c>
      <c r="I19" t="n">
        <v>242</v>
      </c>
    </row>
    <row r="20">
      <c r="A20" t="inlineStr">
        <is>
          <t>Aethyric Arms</t>
        </is>
      </c>
      <c r="B20" t="inlineStr">
        <is>
          <t>Arcane</t>
        </is>
      </c>
      <c r="C20" t="inlineStr">
        <is>
          <t>Arcane</t>
        </is>
      </c>
      <c r="D20" t="inlineStr">
        <is>
          <t>3</t>
        </is>
      </c>
      <c r="E20" t="inlineStr">
        <is>
          <t>You</t>
        </is>
      </c>
      <c r="F20" t="inlineStr">
        <is>
          <t>You</t>
        </is>
      </c>
      <c r="G20" t="inlineStr">
        <is>
          <t>Willpower Bonus Rounds</t>
        </is>
      </c>
      <c r="H20" t="inlineStr">
        <is>
          <t>You conjure a Magical melee weapon of your choice from among the weapons in page 301.</t>
        </is>
      </c>
      <c r="I20" t="n">
        <v>242</v>
      </c>
    </row>
    <row r="21">
      <c r="A21" t="inlineStr">
        <is>
          <t>Arrow Shield</t>
        </is>
      </c>
      <c r="B21" t="inlineStr">
        <is>
          <t>Arcane</t>
        </is>
      </c>
      <c r="C21" t="inlineStr">
        <is>
          <t>Arcane</t>
        </is>
      </c>
      <c r="D21" t="inlineStr">
        <is>
          <t>3</t>
        </is>
      </c>
      <c r="E21" t="inlineStr">
        <is>
          <t>You</t>
        </is>
      </c>
      <c r="F21" t="inlineStr">
        <is>
          <t>AoE (Willpower Bonus yards)</t>
        </is>
      </c>
      <c r="G21" t="inlineStr">
        <is>
          <t>Willpower Bonus Rounds</t>
        </is>
      </c>
      <c r="H21" t="inlineStr">
        <is>
          <t>Any missiles containing organic matter, such as arrows with wooden shafts, are automatically destroyed if they pass within the Area of Effect, causing no damage to their target. Missiles comprising only inorganic matter, such as throwing knives and pistol shots, are unaffected.</t>
        </is>
      </c>
      <c r="I21" t="n">
        <v>243</v>
      </c>
    </row>
    <row r="22">
      <c r="A22" t="inlineStr">
        <is>
          <t>Blast</t>
        </is>
      </c>
      <c r="B22" t="inlineStr">
        <is>
          <t>Arcane</t>
        </is>
      </c>
      <c r="C22" t="inlineStr">
        <is>
          <t>Arcane</t>
        </is>
      </c>
      <c r="D22" t="inlineStr">
        <is>
          <t>4</t>
        </is>
      </c>
      <c r="E22" t="inlineStr">
        <is>
          <t>Willpower yards</t>
        </is>
      </c>
      <c r="F22" t="inlineStr">
        <is>
          <t>AoE (Willpower Bonus yards)</t>
        </is>
      </c>
      <c r="G22" t="inlineStr">
        <is>
          <t>Instant</t>
        </is>
      </c>
      <c r="H22" t="inlineStr">
        <is>
          <t>You channel magic into an explosive blast. This is a magic missile with Damage +3 that targets everyone in the Area of Effect.</t>
        </is>
      </c>
      <c r="I22" t="n">
        <v>243</v>
      </c>
    </row>
    <row r="23">
      <c r="A23" t="inlineStr">
        <is>
          <t>Bolt</t>
        </is>
      </c>
      <c r="B23" t="inlineStr">
        <is>
          <t>Arcane</t>
        </is>
      </c>
      <c r="C23" t="inlineStr">
        <is>
          <t>Arcane</t>
        </is>
      </c>
      <c r="D23" t="inlineStr">
        <is>
          <t>4</t>
        </is>
      </c>
      <c r="E23" t="inlineStr">
        <is>
          <t>Willpower yards</t>
        </is>
      </c>
      <c r="F23" t="inlineStr">
        <is>
          <t>1</t>
        </is>
      </c>
      <c r="G23" t="inlineStr">
        <is>
          <t>Instant</t>
        </is>
      </c>
      <c r="H23" t="inlineStr">
        <is>
          <t>You channel magic into a damaging bolt. Bolt is a magic missile with a Damage of +4.</t>
        </is>
      </c>
      <c r="I23" t="n">
        <v>243</v>
      </c>
    </row>
    <row r="24">
      <c r="A24" t="inlineStr">
        <is>
          <t>Breath</t>
        </is>
      </c>
      <c r="B24" t="inlineStr">
        <is>
          <t>Arcane</t>
        </is>
      </c>
      <c r="C24" t="inlineStr">
        <is>
          <t>Arcane</t>
        </is>
      </c>
      <c r="D24" t="inlineStr">
        <is>
          <t>6</t>
        </is>
      </c>
      <c r="E24" t="inlineStr">
        <is>
          <t>Special</t>
        </is>
      </c>
      <c r="F24" t="inlineStr">
        <is>
          <t>Special</t>
        </is>
      </c>
      <c r="G24" t="inlineStr">
        <is>
          <t>Instant</t>
        </is>
      </c>
      <c r="H24" t="inlineStr">
        <is>
          <t>The target, and any creature within Initiative Bonus yards of them, may oppose your result with a Dodge Test. Those who fail to beat your result are struck by this spell. Breath inflicts Willpower Bonus Damage. The effects of this spell vary depending on the Lore used to cast it. Acid (Metal): Damage is increased by 4.</t>
        </is>
      </c>
      <c r="I24" t="n">
        <v>243</v>
      </c>
    </row>
    <row r="25">
      <c r="A25" t="inlineStr">
        <is>
          <t>Bridge</t>
        </is>
      </c>
      <c r="B25" t="inlineStr">
        <is>
          <t>Arcane</t>
        </is>
      </c>
      <c r="C25" t="inlineStr">
        <is>
          <t>Arcane</t>
        </is>
      </c>
      <c r="D25" t="inlineStr">
        <is>
          <t>4</t>
        </is>
      </c>
      <c r="E25" t="inlineStr">
        <is>
          <t>Willpower yards</t>
        </is>
      </c>
      <c r="F25" t="inlineStr">
        <is>
          <t>Special</t>
        </is>
      </c>
      <c r="G25" t="inlineStr">
        <is>
          <t>Willpower Bonus Rounds</t>
        </is>
      </c>
      <c r="H25" t="inlineStr">
        <is>
          <t>You create a bridge of magical energy, with a maximum length and breadth of your Willpower Bonus in yards. For every +2 SL, you may increase length or breadth by your Willpower Bonus in yards.</t>
        </is>
      </c>
      <c r="I25" t="n">
        <v>243</v>
      </c>
    </row>
    <row r="26">
      <c r="A26" t="inlineStr">
        <is>
          <t>Chain Attack</t>
        </is>
      </c>
      <c r="B26" t="inlineStr">
        <is>
          <t>Arcane</t>
        </is>
      </c>
      <c r="C26" t="inlineStr">
        <is>
          <t>Arcane</t>
        </is>
      </c>
      <c r="D26" t="inlineStr">
        <is>
          <t>6</t>
        </is>
      </c>
      <c r="E26" t="inlineStr">
        <is>
          <t>Willpower yards</t>
        </is>
      </c>
      <c r="F26" t="inlineStr">
        <is>
          <t>Special</t>
        </is>
      </c>
      <c r="G26" t="inlineStr">
        <is>
          <t>Instant</t>
        </is>
      </c>
      <c r="H26" t="inlineStr">
        <is>
          <t>This is a Damage +4 magic missile. If Chain Attack deals more Wounds than the target's Toughness Bonus, it leaps to the nearest other target within Willpower Bonus yards of the previous target, inflicting –1 Damage each time. It may leap a maximum number of times equal to your Willpower Bonus. For every +2 SL achieved, it may chain to an additional target.</t>
        </is>
      </c>
      <c r="I26" t="n">
        <v>243</v>
      </c>
    </row>
    <row r="27">
      <c r="A27" t="inlineStr">
        <is>
          <t>Corrosive Blood</t>
        </is>
      </c>
      <c r="B27" t="inlineStr">
        <is>
          <t>Arcane</t>
        </is>
      </c>
      <c r="C27" t="inlineStr">
        <is>
          <t>Arcane</t>
        </is>
      </c>
      <c r="D27" t="inlineStr">
        <is>
          <t>2</t>
        </is>
      </c>
      <c r="E27" t="inlineStr">
        <is>
          <t>You</t>
        </is>
      </c>
      <c r="F27" t="inlineStr">
        <is>
          <t>You</t>
        </is>
      </c>
      <c r="G27" t="inlineStr">
        <is>
          <t>Toughness Bonus Rounds or hours</t>
        </is>
      </c>
      <c r="H27" t="inlineStr">
        <is>
          <t>You infuse yourself with magic, lending your blood a fearsome potency. You gain the Corrosive Blood Creature Trait (see page 357) for Toughness Bonus Rounds. Alternatively, for Toughness Bonus hours, all small parasites (fleas, leeches, etc.) that bite you instantly die and transmit no disease. Blood Rot and similar diseases are purged from your body.</t>
        </is>
      </c>
      <c r="I27" t="n">
        <v>243</v>
      </c>
    </row>
    <row r="28">
      <c r="A28" t="inlineStr">
        <is>
          <t>Dark Vision</t>
        </is>
      </c>
      <c r="B28" t="inlineStr">
        <is>
          <t>Arcane</t>
        </is>
      </c>
      <c r="C28" t="inlineStr">
        <is>
          <t>Arcane</t>
        </is>
      </c>
      <c r="D28" t="inlineStr">
        <is>
          <t>1</t>
        </is>
      </c>
      <c r="E28" t="inlineStr">
        <is>
          <t>You</t>
        </is>
      </c>
      <c r="F28" t="inlineStr">
        <is>
          <t>You</t>
        </is>
      </c>
      <c r="G28" t="inlineStr">
        <is>
          <t>Initiative Bonus Rounds</t>
        </is>
      </c>
      <c r="H28" t="inlineStr">
        <is>
          <t>You boost your Second Sight to assist your mundane senses. While the Spell is active, gain the Dark Vision Creature Trait (see page 357).</t>
        </is>
      </c>
      <c r="I28" t="n">
        <v>243</v>
      </c>
    </row>
    <row r="29">
      <c r="A29" t="inlineStr">
        <is>
          <t>Distracting</t>
        </is>
      </c>
      <c r="B29" t="inlineStr">
        <is>
          <t>Arcane</t>
        </is>
      </c>
      <c r="C29" t="inlineStr">
        <is>
          <t>Arcane</t>
        </is>
      </c>
      <c r="D29" t="inlineStr">
        <is>
          <t>4</t>
        </is>
      </c>
      <c r="E29" t="inlineStr">
        <is>
          <t>You</t>
        </is>
      </c>
      <c r="F29" t="inlineStr">
        <is>
          <t>You</t>
        </is>
      </c>
      <c r="G29" t="inlineStr">
        <is>
          <t>Willpower Bonus Rounds</t>
        </is>
      </c>
      <c r="H29" t="inlineStr">
        <is>
          <t>You wreathe yourself in magic, which swirls around you, distracting your foes. While the Spell is active, gain the Distracting Creature Trait (see page 358).</t>
        </is>
      </c>
      <c r="I29" t="n">
        <v>244</v>
      </c>
    </row>
    <row r="30">
      <c r="A30" t="inlineStr">
        <is>
          <t>Dome</t>
        </is>
      </c>
      <c r="B30" t="inlineStr">
        <is>
          <t>Arcane</t>
        </is>
      </c>
      <c r="C30" t="inlineStr">
        <is>
          <t>Arcane</t>
        </is>
      </c>
      <c r="D30" t="inlineStr">
        <is>
          <t>7</t>
        </is>
      </c>
      <c r="E30" t="inlineStr">
        <is>
          <t>You</t>
        </is>
      </c>
      <c r="F30" t="inlineStr">
        <is>
          <t>AoE (Willpower Bonus yards)</t>
        </is>
      </c>
      <c r="G30" t="inlineStr">
        <is>
          <t>Willpower Bonus Rounds</t>
        </is>
      </c>
      <c r="H30" t="inlineStr">
        <is>
          <t>You create a dome of magical energy overhead, blocking incoming attacks. Anyone within the Area of Effect gains the Ward 6+ Creature Trait (see page 363) against Magical or ranged attacks originating outside the dome. Those within may attack out of the dome as normal, and the dome does not impede movement.</t>
        </is>
      </c>
      <c r="I30" t="n">
        <v>244</v>
      </c>
    </row>
    <row r="31">
      <c r="A31" t="inlineStr">
        <is>
          <t>Drop</t>
        </is>
      </c>
      <c r="B31" t="inlineStr">
        <is>
          <t>Arcane</t>
        </is>
      </c>
      <c r="C31" t="inlineStr">
        <is>
          <t>Arcane</t>
        </is>
      </c>
      <c r="D31" t="inlineStr">
        <is>
          <t>1</t>
        </is>
      </c>
      <c r="E31" t="inlineStr">
        <is>
          <t>Willpower yards</t>
        </is>
      </c>
      <c r="F31" t="inlineStr">
        <is>
          <t>1</t>
        </is>
      </c>
      <c r="G31" t="inlineStr">
        <is>
          <t>Instant</t>
        </is>
      </c>
      <c r="H31" t="inlineStr">
        <is>
          <t>You channel magic into an object being held by the target creature. This could be a weapon, a rope, or someone's hand. Unless a Challenging (+0 SL) Dexterity Test is passed, the item is dropped. For every +2 SL, you may impose -1 SL on the Dexterity Test.</t>
        </is>
      </c>
      <c r="I31" t="n">
        <v>244</v>
      </c>
    </row>
    <row r="32">
      <c r="A32" t="inlineStr">
        <is>
          <t>Entangle</t>
        </is>
      </c>
      <c r="B32" t="inlineStr">
        <is>
          <t>Arcane</t>
        </is>
      </c>
      <c r="C32" t="inlineStr">
        <is>
          <t>Arcane</t>
        </is>
      </c>
      <c r="D32" t="inlineStr">
        <is>
          <t>3</t>
        </is>
      </c>
      <c r="E32" t="inlineStr">
        <is>
          <t>Willpower Bonus yards</t>
        </is>
      </c>
      <c r="F32" t="inlineStr">
        <is>
          <t>1</t>
        </is>
      </c>
      <c r="G32" t="inlineStr">
        <is>
          <t>Willpower Bonus Rounds</t>
        </is>
      </c>
      <c r="H32" t="inlineStr">
        <is>
          <t>Using magic, you entrap your target, wrapping them in whatever suits your Lore: vines, shadows, their own clothing… Your target gains one Entangled Condition with a Strength equal to your Willpower.</t>
        </is>
      </c>
      <c r="I32" t="n">
        <v>244</v>
      </c>
    </row>
    <row r="33">
      <c r="A33" t="inlineStr">
        <is>
          <t>Fearsome</t>
        </is>
      </c>
      <c r="B33" t="inlineStr">
        <is>
          <t>Arcane</t>
        </is>
      </c>
      <c r="C33" t="inlineStr">
        <is>
          <t>Arcane</t>
        </is>
      </c>
      <c r="D33" t="inlineStr">
        <is>
          <t>3</t>
        </is>
      </c>
      <c r="E33" t="inlineStr">
        <is>
          <t>You</t>
        </is>
      </c>
      <c r="F33" t="inlineStr">
        <is>
          <t>You</t>
        </is>
      </c>
      <c r="G33" t="inlineStr">
        <is>
          <t>Willpower Bonus Rounds</t>
        </is>
      </c>
      <c r="H33" t="inlineStr">
        <is>
          <t>Shrouding yourself in magic, you become fearsome and intimidating. Gain Fear 1. For every +3 SL, you may increase your Fear value by 1.</t>
        </is>
      </c>
      <c r="I33" t="n">
        <v>244</v>
      </c>
    </row>
    <row r="34">
      <c r="A34" t="inlineStr">
        <is>
          <t>Flight</t>
        </is>
      </c>
      <c r="B34" t="inlineStr">
        <is>
          <t>Arcane</t>
        </is>
      </c>
      <c r="C34" t="inlineStr">
        <is>
          <t>Arcane</t>
        </is>
      </c>
      <c r="D34" t="inlineStr">
        <is>
          <t>8</t>
        </is>
      </c>
      <c r="E34" t="inlineStr">
        <is>
          <t>You</t>
        </is>
      </c>
      <c r="F34" t="inlineStr">
        <is>
          <t>You</t>
        </is>
      </c>
      <c r="G34" t="inlineStr">
        <is>
          <t>Willpower Bonus Rounds</t>
        </is>
      </c>
      <c r="H34" t="inlineStr">
        <is>
          <t>You can fly, whether by sprouting wings, ascending on a pillar of magical light, or some other method. Gain the Fly (Athletics) Creature Trait (see page 358).</t>
        </is>
      </c>
      <c r="I34" t="n">
        <v>244</v>
      </c>
    </row>
    <row r="35">
      <c r="A35" t="inlineStr">
        <is>
          <t>Magic Shield</t>
        </is>
      </c>
      <c r="B35" t="inlineStr">
        <is>
          <t>Arcane</t>
        </is>
      </c>
      <c r="C35" t="inlineStr">
        <is>
          <t>Arcane</t>
        </is>
      </c>
      <c r="D35" t="inlineStr">
        <is>
          <t>4</t>
        </is>
      </c>
      <c r="E35" t="inlineStr">
        <is>
          <t>You</t>
        </is>
      </c>
      <c r="F35" t="inlineStr">
        <is>
          <t>You</t>
        </is>
      </c>
      <c r="G35" t="inlineStr">
        <is>
          <t>Willpower Bonus Rounds</t>
        </is>
      </c>
      <c r="H35" t="inlineStr">
        <is>
          <t>You encase yourself in bands of protective magic. While the Spell is active, add +Willpower Bonus SL to any dispel attempts you make.</t>
        </is>
      </c>
      <c r="I35" t="n">
        <v>244</v>
      </c>
    </row>
    <row r="36">
      <c r="A36" t="inlineStr">
        <is>
          <t>Move Object</t>
        </is>
      </c>
      <c r="B36" t="inlineStr">
        <is>
          <t>Arcane</t>
        </is>
      </c>
      <c r="C36" t="inlineStr">
        <is>
          <t>Arcane</t>
        </is>
      </c>
      <c r="D36" t="inlineStr">
        <is>
          <t>4</t>
        </is>
      </c>
      <c r="E36" t="inlineStr">
        <is>
          <t>Willpower yards</t>
        </is>
      </c>
      <c r="F36" t="inlineStr">
        <is>
          <t>1</t>
        </is>
      </c>
      <c r="G36" t="inlineStr">
        <is>
          <t>1 Round</t>
        </is>
      </c>
      <c r="H36" t="inlineStr">
        <is>
          <t>You may move the object up to Willpower Bonus yards. If anyone attempts to impede the object's movement, make an Opposed Willpower/Strength Test. For every +2 SL, you may increase the distance the object is moved by Willpower Bonus yards.</t>
        </is>
      </c>
      <c r="I36" t="n">
        <v>244</v>
      </c>
    </row>
    <row r="37">
      <c r="A37" t="inlineStr">
        <is>
          <t>Mundane Aura</t>
        </is>
      </c>
      <c r="B37" t="inlineStr">
        <is>
          <t>Arcane</t>
        </is>
      </c>
      <c r="C37" t="inlineStr">
        <is>
          <t>Arcane</t>
        </is>
      </c>
      <c r="D37" t="inlineStr">
        <is>
          <t>4</t>
        </is>
      </c>
      <c r="E37" t="inlineStr">
        <is>
          <t>You</t>
        </is>
      </c>
      <c r="F37" t="inlineStr">
        <is>
          <t>You</t>
        </is>
      </c>
      <c r="G37" t="inlineStr">
        <is>
          <t>Willpower minutes</t>
        </is>
      </c>
      <c r="H37" t="inlineStr">
        <is>
          <t>For the duration of the Spell, you appear mundane to the Magical Sense Talent and similar. You effectively have no magical ability and your magical nature cannot be detected by any means. While this Spell is in effect, you cannot cast any other Spells. Mundane Aura immediately ends if you make a Channelling Test.</t>
        </is>
      </c>
      <c r="I37" t="n">
        <v>244</v>
      </c>
    </row>
    <row r="38">
      <c r="A38" t="inlineStr">
        <is>
          <t>Push</t>
        </is>
      </c>
      <c r="B38" t="inlineStr">
        <is>
          <t>Arcane</t>
        </is>
      </c>
      <c r="C38" t="inlineStr">
        <is>
          <t>Arcane</t>
        </is>
      </c>
      <c r="D38" t="inlineStr">
        <is>
          <t>6</t>
        </is>
      </c>
      <c r="E38" t="inlineStr">
        <is>
          <t>You</t>
        </is>
      </c>
      <c r="F38" t="inlineStr">
        <is>
          <t>AoE (Willpower Bonus yards, maximum)</t>
        </is>
      </c>
      <c r="G38" t="inlineStr">
        <is>
          <t>Instant</t>
        </is>
      </c>
      <c r="H38" t="inlineStr">
        <is>
          <t>All targets around you are pushed back your Willpower Bonus in yards, take 1d10 Damage ignoring Armour Points, and gain the Prone Condition. If they collide into a creature the same Size or smaller, that creature gains the Prone Condition (but takes no Damage). For every +2 SL, you may push creatures back another Willpower Bonus in yards.</t>
        </is>
      </c>
      <c r="I38" t="n">
        <v>245</v>
      </c>
    </row>
    <row r="39">
      <c r="A39" t="inlineStr">
        <is>
          <t>Rot</t>
        </is>
      </c>
      <c r="B39" t="inlineStr">
        <is>
          <t>Arcane</t>
        </is>
      </c>
      <c r="C39" t="inlineStr">
        <is>
          <t>Arcane</t>
        </is>
      </c>
      <c r="D39" t="inlineStr">
        <is>
          <t>0</t>
        </is>
      </c>
      <c r="E39" t="inlineStr">
        <is>
          <t>1 yard</t>
        </is>
      </c>
      <c r="F39" t="inlineStr">
        <is>
          <t>Special</t>
        </is>
      </c>
      <c r="G39" t="inlineStr">
        <is>
          <t>Instant</t>
        </is>
      </c>
      <c r="H39" t="inlineStr">
        <is>
          <t>You cause a roughly fist-sized volume of organic material to immediately rot. Foodstuffs perish, clothes crumble, leathers shrivel (losing 1 Armour Point on 1 Hit Location), and similar, as dictated by the GM.</t>
        </is>
      </c>
      <c r="I39" t="n">
        <v>242</v>
      </c>
    </row>
    <row r="40">
      <c r="A40" t="inlineStr">
        <is>
          <t>Shock</t>
        </is>
      </c>
      <c r="B40" t="inlineStr">
        <is>
          <t>Arcane</t>
        </is>
      </c>
      <c r="C40" t="inlineStr">
        <is>
          <t>Arcane</t>
        </is>
      </c>
      <c r="D40" t="inlineStr">
        <is>
          <t>0</t>
        </is>
      </c>
      <c r="E40" t="inlineStr">
        <is>
          <t>Touch</t>
        </is>
      </c>
      <c r="F40" t="inlineStr">
        <is>
          <t>1</t>
        </is>
      </c>
      <c r="G40" t="inlineStr">
        <is>
          <t>Instant</t>
        </is>
      </c>
      <c r="H40" t="inlineStr">
        <is>
          <t>Your target receives 1 Stunned Condition.</t>
        </is>
      </c>
      <c r="I40" t="n">
        <v>242</v>
      </c>
    </row>
    <row r="41">
      <c r="A41" t="inlineStr">
        <is>
          <t>Silence</t>
        </is>
      </c>
      <c r="B41" t="inlineStr">
        <is>
          <t>Arcane</t>
        </is>
      </c>
      <c r="C41" t="inlineStr">
        <is>
          <t>Arcane</t>
        </is>
      </c>
      <c r="D41" t="inlineStr">
        <is>
          <t>4</t>
        </is>
      </c>
      <c r="E41" t="inlineStr">
        <is>
          <t>You</t>
        </is>
      </c>
      <c r="F41" t="inlineStr">
        <is>
          <t>AoE (Willpower Bonus yards)</t>
        </is>
      </c>
      <c r="G41" t="inlineStr">
        <is>
          <t>Willpower Bonus minutes</t>
        </is>
      </c>
      <c r="H41" t="inlineStr">
        <is>
          <t>You create a zone around you through which no noise can travel. Within the zone, no sound can be heard, and people outside the zone cannot hear anything emanating from it. This interferes with the casting of Spells: the Difficulty of Casting Tests increases by one step.</t>
        </is>
      </c>
      <c r="I41" t="n">
        <v>245</v>
      </c>
    </row>
    <row r="42">
      <c r="A42" t="inlineStr">
        <is>
          <t>Sleep</t>
        </is>
      </c>
      <c r="B42" t="inlineStr">
        <is>
          <t>Arcane</t>
        </is>
      </c>
      <c r="C42" t="inlineStr">
        <is>
          <t>Arcane</t>
        </is>
      </c>
      <c r="D42" t="inlineStr">
        <is>
          <t>0</t>
        </is>
      </c>
      <c r="E42" t="inlineStr">
        <is>
          <t>Touch</t>
        </is>
      </c>
      <c r="F42" t="inlineStr">
        <is>
          <t>1</t>
        </is>
      </c>
      <c r="G42" t="inlineStr">
        <is>
          <t>Willpower Bonus Rounds</t>
        </is>
      </c>
      <c r="H42" t="inlineStr">
        <is>
          <t>If the target has the Prone Condition, they gain the Unconscious Condition as they fall asleep. They remain unconscious for the duration, although loud noises or being moved or jostled will awaken them instantly.</t>
        </is>
      </c>
      <c r="I42" t="n">
        <v>242</v>
      </c>
    </row>
    <row r="43">
      <c r="A43" t="inlineStr">
        <is>
          <t>Sly Hands</t>
        </is>
      </c>
      <c r="B43" t="inlineStr">
        <is>
          <t>Arcane</t>
        </is>
      </c>
      <c r="C43" t="inlineStr">
        <is>
          <t>Arcane</t>
        </is>
      </c>
      <c r="D43" t="inlineStr">
        <is>
          <t>0</t>
        </is>
      </c>
      <c r="E43" t="inlineStr">
        <is>
          <t>You</t>
        </is>
      </c>
      <c r="F43" t="inlineStr">
        <is>
          <t>You</t>
        </is>
      </c>
      <c r="G43" t="inlineStr">
        <is>
          <t>Instant</t>
        </is>
      </c>
      <c r="H43" t="inlineStr">
        <is>
          <t>You teleport a small object — no bigger than your fist — from about your person into your hand.</t>
        </is>
      </c>
      <c r="I43" t="n">
        <v>242</v>
      </c>
    </row>
    <row r="44">
      <c r="A44" t="inlineStr">
        <is>
          <t>Sounds</t>
        </is>
      </c>
      <c r="B44" t="inlineStr">
        <is>
          <t>Arcane</t>
        </is>
      </c>
      <c r="C44" t="inlineStr">
        <is>
          <t>Arcane</t>
        </is>
      </c>
      <c r="D44" t="inlineStr">
        <is>
          <t>0</t>
        </is>
      </c>
      <c r="E44" t="inlineStr">
        <is>
          <t>Willpower yards</t>
        </is>
      </c>
      <c r="F44" t="inlineStr">
        <is>
          <t>Special</t>
        </is>
      </c>
      <c r="G44" t="inlineStr">
        <is>
          <t>Willpower Bonus Rounds</t>
        </is>
      </c>
      <c r="H44" t="inlineStr">
        <is>
          <t>You can create quiet, indistinct noises that sound as if they come from a specific location within range, regardless of line of sight. The noises can evoke something specific, such as footsteps, whispers, or the howl of an animal, but nothing so distinct that it might convey a message.</t>
        </is>
      </c>
      <c r="I44" t="n">
        <v>242</v>
      </c>
    </row>
    <row r="45">
      <c r="A45" t="inlineStr">
        <is>
          <t>Spring</t>
        </is>
      </c>
      <c r="B45" t="inlineStr">
        <is>
          <t>Arcane</t>
        </is>
      </c>
      <c r="C45" t="inlineStr">
        <is>
          <t>Arcane</t>
        </is>
      </c>
      <c r="D45" t="inlineStr">
        <is>
          <t>0</t>
        </is>
      </c>
      <c r="E45" t="inlineStr">
        <is>
          <t>Touch</t>
        </is>
      </c>
      <c r="F45" t="inlineStr">
        <is>
          <t>Special</t>
        </is>
      </c>
      <c r="G45" t="inlineStr">
        <is>
          <t>Willpower Bonus Rounds</t>
        </is>
      </c>
      <c r="H45" t="inlineStr">
        <is>
          <t>You touch the ground and water bubbles forth at the rate of 1 pint per Round, to a total of your Initiative Bonus in pints.</t>
        </is>
      </c>
      <c r="I45" t="n">
        <v>242</v>
      </c>
    </row>
    <row r="46">
      <c r="A46" t="inlineStr">
        <is>
          <t>Teleport</t>
        </is>
      </c>
      <c r="B46" t="inlineStr">
        <is>
          <t>Arcane</t>
        </is>
      </c>
      <c r="C46" t="inlineStr">
        <is>
          <t>Arcane</t>
        </is>
      </c>
      <c r="D46" t="inlineStr">
        <is>
          <t>3</t>
        </is>
      </c>
      <c r="E46" t="inlineStr">
        <is>
          <t>You</t>
        </is>
      </c>
      <c r="F46" t="inlineStr">
        <is>
          <t>You</t>
        </is>
      </c>
      <c r="G46" t="inlineStr">
        <is>
          <t>Instant</t>
        </is>
      </c>
      <c r="H46" t="inlineStr">
        <is>
          <t>Using magic, you can teleport up to your Willpower Bonus + SL in yards. This movement allows you to traverse gaps, avoid perils and pitfalls, and ignore obstacles.</t>
        </is>
      </c>
      <c r="I46" t="n">
        <v>245</v>
      </c>
    </row>
    <row r="47">
      <c r="A47" t="inlineStr">
        <is>
          <t>Terrifying</t>
        </is>
      </c>
      <c r="B47" t="inlineStr">
        <is>
          <t>Arcane</t>
        </is>
      </c>
      <c r="C47" t="inlineStr">
        <is>
          <t>Arcane</t>
        </is>
      </c>
      <c r="D47" t="inlineStr">
        <is>
          <t>6</t>
        </is>
      </c>
      <c r="E47" t="inlineStr">
        <is>
          <t>You</t>
        </is>
      </c>
      <c r="F47" t="inlineStr">
        <is>
          <t>You</t>
        </is>
      </c>
      <c r="G47" t="inlineStr">
        <is>
          <t>Willpower Bonus Rounds</t>
        </is>
      </c>
      <c r="H47" t="inlineStr">
        <is>
          <t>You become a terrifying horror to your enemies. You gain the Terror 1 Creature Trait (see page 362). For every +3 SL, you may increase your Terror value by 1.</t>
        </is>
      </c>
      <c r="I47" t="n">
        <v>245</v>
      </c>
    </row>
    <row r="48">
      <c r="A48" t="inlineStr">
        <is>
          <t>Twitch</t>
        </is>
      </c>
      <c r="B48" t="inlineStr">
        <is>
          <t>Arcane</t>
        </is>
      </c>
      <c r="C48" t="inlineStr">
        <is>
          <t>Arcane</t>
        </is>
      </c>
      <c r="D48" t="inlineStr">
        <is>
          <t>0</t>
        </is>
      </c>
      <c r="E48" t="inlineStr">
        <is>
          <t>Half Willpower yards</t>
        </is>
      </c>
      <c r="F48" t="inlineStr">
        <is>
          <t>1</t>
        </is>
      </c>
      <c r="G48" t="inlineStr">
        <is>
          <t>Instant</t>
        </is>
      </c>
      <c r="H48" t="inlineStr">
        <is>
          <t>You cause a small object to move, slightly. Something may fall from a shelf, or a book may slam its pages shut. If the object is held, the holder must pass an Average (+2 SL) Dexterity Test or drop the object.</t>
        </is>
      </c>
      <c r="I48" t="n">
        <v>242</v>
      </c>
    </row>
    <row r="49">
      <c r="A49" t="inlineStr">
        <is>
          <t>Ward</t>
        </is>
      </c>
      <c r="B49" t="inlineStr">
        <is>
          <t>Arcane</t>
        </is>
      </c>
      <c r="C49" t="inlineStr">
        <is>
          <t>Arcane</t>
        </is>
      </c>
      <c r="D49" t="inlineStr">
        <is>
          <t>6</t>
        </is>
      </c>
      <c r="E49" t="inlineStr">
        <is>
          <t>You</t>
        </is>
      </c>
      <c r="F49" t="inlineStr">
        <is>
          <t>You</t>
        </is>
      </c>
      <c r="G49" t="inlineStr">
        <is>
          <t>Willpower Bonus Rounds</t>
        </is>
      </c>
      <c r="H49" t="inlineStr">
        <is>
          <t>You wrap yourself in protective magic, gaining the Ward 7+ Creature Trait (see page 363).</t>
        </is>
      </c>
      <c r="I49" t="n">
        <v>245</v>
      </c>
    </row>
    <row r="50">
      <c r="A50" t="inlineStr">
        <is>
          <t>Warning</t>
        </is>
      </c>
      <c r="B50" t="inlineStr">
        <is>
          <t>Arcane</t>
        </is>
      </c>
      <c r="C50" t="inlineStr">
        <is>
          <t>Arcane</t>
        </is>
      </c>
      <c r="D50" t="inlineStr">
        <is>
          <t>0</t>
        </is>
      </c>
      <c r="E50" t="inlineStr">
        <is>
          <t>1 yard</t>
        </is>
      </c>
      <c r="F50" t="inlineStr">
        <is>
          <t>1</t>
        </is>
      </c>
      <c r="G50" t="inlineStr">
        <is>
          <t>Instant</t>
        </is>
      </c>
      <c r="H50" t="inlineStr">
        <is>
          <t>You channel magic into an object, noticing immediately if it has been poisoned, infected, or trapped.</t>
        </is>
      </c>
      <c r="I50" t="n">
        <v>242</v>
      </c>
    </row>
    <row r="51">
      <c r="A51" t="inlineStr">
        <is>
          <t>Amber Talons</t>
        </is>
      </c>
      <c r="B51" t="inlineStr">
        <is>
          <t>Lore</t>
        </is>
      </c>
      <c r="C51" t="inlineStr">
        <is>
          <t>Beasts</t>
        </is>
      </c>
      <c r="D51" t="inlineStr">
        <is>
          <t>3</t>
        </is>
      </c>
      <c r="E51" t="inlineStr">
        <is>
          <t>You</t>
        </is>
      </c>
      <c r="F51" t="inlineStr">
        <is>
          <t>You</t>
        </is>
      </c>
      <c r="G51" t="inlineStr">
        <is>
          <t>Willpower Bonus Rounds</t>
        </is>
      </c>
      <c r="H51" t="inlineStr">
        <is>
          <t>Your nails grow into wickedly sharp talons of crystal amber. Your unarmed attacks lose Undamaging, gain Magical, have a Damage of SB + 4, and inflict 1 Bleeding Condition whenever they cause Wounds. Further, gain Scale Sheer Surface (see page 125).</t>
        </is>
      </c>
      <c r="I51" t="n">
        <v>245</v>
      </c>
    </row>
    <row r="52">
      <c r="A52" t="inlineStr">
        <is>
          <t>Beast Form</t>
        </is>
      </c>
      <c r="B52" t="inlineStr">
        <is>
          <t>Lore</t>
        </is>
      </c>
      <c r="C52" t="inlineStr">
        <is>
          <t>Beasts</t>
        </is>
      </c>
      <c r="D52" t="inlineStr">
        <is>
          <t>5</t>
        </is>
      </c>
      <c r="E52" t="inlineStr">
        <is>
          <t>You</t>
        </is>
      </c>
      <c r="F52" t="inlineStr">
        <is>
          <t>You</t>
        </is>
      </c>
      <c r="G52" t="inlineStr">
        <is>
          <t>Toughness minutes</t>
        </is>
      </c>
      <c r="H52" t="inlineStr">
        <is>
          <t>When cast, select a new form from any in the Beasts of the Reikland section of the Bestiary (see pages 325-327). You gain all the creature's standard Traits except the Bestial and Skittish Traits. Furthermore, replace your Movement, Strength, Toughness, Agility, and Dexterity with the creature's. Recalculate your Wounds.</t>
        </is>
      </c>
      <c r="I52" t="n">
        <v>245</v>
      </c>
    </row>
    <row r="53">
      <c r="A53" t="inlineStr">
        <is>
          <t>Beast Master</t>
        </is>
      </c>
      <c r="B53" t="inlineStr">
        <is>
          <t>Lore</t>
        </is>
      </c>
      <c r="C53" t="inlineStr">
        <is>
          <t>Beasts</t>
        </is>
      </c>
      <c r="D53" t="inlineStr">
        <is>
          <t>10</t>
        </is>
      </c>
      <c r="E53" t="inlineStr">
        <is>
          <t>Willpower Bonus yards</t>
        </is>
      </c>
      <c r="F53" t="inlineStr">
        <is>
          <t>1</t>
        </is>
      </c>
      <c r="G53" t="inlineStr">
        <is>
          <t>Willpower Bonus days</t>
        </is>
      </c>
      <c r="H53" t="inlineStr">
        <is>
          <t>Your gaze and words convince a creature with the Bestial and Size (Small, Average, or Large) Traits that you are its pack master. It fights to the death to protect you. While subject to your mastery, the beast follows your commands, instinctively understanding simple instructions.</t>
        </is>
      </c>
      <c r="I53" t="n">
        <v>246</v>
      </c>
    </row>
    <row r="54">
      <c r="A54" t="inlineStr">
        <is>
          <t>Beast Tongue</t>
        </is>
      </c>
      <c r="B54" t="inlineStr">
        <is>
          <t>Lore</t>
        </is>
      </c>
      <c r="C54" t="inlineStr">
        <is>
          <t>Beasts</t>
        </is>
      </c>
      <c r="D54" t="inlineStr">
        <is>
          <t>3</t>
        </is>
      </c>
      <c r="E54" t="inlineStr">
        <is>
          <t>You</t>
        </is>
      </c>
      <c r="F54" t="inlineStr">
        <is>
          <t>You</t>
        </is>
      </c>
      <c r="G54" t="inlineStr">
        <is>
          <t>Willpower minutes</t>
        </is>
      </c>
      <c r="H54" t="inlineStr">
        <is>
          <t>Ghur clogs your throat, and your language comes out as snarls, hisses, and roars as befits the beasts to whom you speak. While the creatures are not compelled to answer you or do as you bid, most hear you out. You gain +2 SL on all Animal Training and Charm Animal Tests.</t>
        </is>
      </c>
      <c r="I54" t="n">
        <v>246</v>
      </c>
    </row>
    <row r="55">
      <c r="A55" t="inlineStr">
        <is>
          <t>Flock of Doom</t>
        </is>
      </c>
      <c r="B55" t="inlineStr">
        <is>
          <t>Lore</t>
        </is>
      </c>
      <c r="C55" t="inlineStr">
        <is>
          <t>Beasts</t>
        </is>
      </c>
      <c r="D55" t="inlineStr">
        <is>
          <t>8</t>
        </is>
      </c>
      <c r="E55" t="inlineStr">
        <is>
          <t>Willpower yards</t>
        </is>
      </c>
      <c r="F55" t="inlineStr">
        <is>
          <t>AoE (Willpower Bonus yards)</t>
        </is>
      </c>
      <c r="G55" t="inlineStr">
        <is>
          <t>Willpower Bonus Rounds</t>
        </is>
      </c>
      <c r="H55" t="inlineStr">
        <is>
          <t>The flock ferociously attacks everyone in the Area of Effect who lacks Arcane Magic (Beasts) , inflicting a Damage 7 hit to the head at the end of each Round. The birds also cause them to suffer 1 Blinded Condition while within the area as they peck at their eyes.</t>
        </is>
      </c>
      <c r="I55" t="n">
        <v>246</v>
      </c>
    </row>
    <row r="56">
      <c r="A56" t="inlineStr">
        <is>
          <t>Hunter's Hide</t>
        </is>
      </c>
      <c r="B56" t="inlineStr">
        <is>
          <t>Lore</t>
        </is>
      </c>
      <c r="C56" t="inlineStr">
        <is>
          <t>Beasts</t>
        </is>
      </c>
      <c r="D56" t="inlineStr">
        <is>
          <t>6</t>
        </is>
      </c>
      <c r="E56" t="inlineStr">
        <is>
          <t>You</t>
        </is>
      </c>
      <c r="F56" t="inlineStr">
        <is>
          <t>You</t>
        </is>
      </c>
      <c r="G56" t="inlineStr">
        <is>
          <t>Willpower Bonus Rounds</t>
        </is>
      </c>
      <c r="H56" t="inlineStr">
        <is>
          <t>You cloak yourself in a shimmering mantle of Ghur. You gain +20 Toughness, the Acute Sense (Smell) Talent (see page 114), and the Dark Vision and Fear 1 Creature Traits (see page 358).</t>
        </is>
      </c>
      <c r="I56" t="n">
        <v>246</v>
      </c>
    </row>
    <row r="57">
      <c r="A57" t="inlineStr">
        <is>
          <t>The Amber Spear</t>
        </is>
      </c>
      <c r="B57" t="inlineStr">
        <is>
          <t>Lore</t>
        </is>
      </c>
      <c r="C57" t="inlineStr">
        <is>
          <t>Beasts</t>
        </is>
      </c>
      <c r="D57" t="inlineStr">
        <is>
          <t>8</t>
        </is>
      </c>
      <c r="E57" t="inlineStr">
        <is>
          <t>Strength yards</t>
        </is>
      </c>
      <c r="F57" t="inlineStr">
        <is>
          <t>1 (maximum)</t>
        </is>
      </c>
      <c r="G57" t="inlineStr">
        <is>
          <t>Instant</t>
        </is>
      </c>
      <c r="H57" t="inlineStr">
        <is>
          <t>You hurl a great spear of pure Ghur with uncanny accuracy. This is a magic missile with a Damage of +12, ignoring AP from armour made of leather, fur, scales, and similar. You may choose its Hit Location, and it also inflicts +1 Bleeding Condition.</t>
        </is>
      </c>
      <c r="I57" t="n">
        <v>246</v>
      </c>
    </row>
    <row r="58">
      <c r="A58" t="inlineStr">
        <is>
          <t>Wyssan's Wildform</t>
        </is>
      </c>
      <c r="B58" t="inlineStr">
        <is>
          <t>Lore</t>
        </is>
      </c>
      <c r="C58" t="inlineStr">
        <is>
          <t>Beasts</t>
        </is>
      </c>
      <c r="D58" t="inlineStr">
        <is>
          <t>8</t>
        </is>
      </c>
      <c r="E58" t="inlineStr">
        <is>
          <t>You</t>
        </is>
      </c>
      <c r="F58" t="inlineStr">
        <is>
          <t>You</t>
        </is>
      </c>
      <c r="G58" t="inlineStr">
        <is>
          <t>Willpower Bonus Rounds</t>
        </is>
      </c>
      <c r="H58" t="inlineStr">
        <is>
          <t>Gain +1 Movement, +30 Strength and Toughness, and the following Creature Traits (see pages 356–361): Belligerent, Bite (Strength Bonus + 1), Fear 1, Frenzy, Magical, Striding Gait (Woodland). While the Spell is active, you are incapable of using any Language or Lore Skills.</t>
        </is>
      </c>
      <c r="I58" t="n">
        <v>246</v>
      </c>
    </row>
    <row r="59">
      <c r="A59" t="inlineStr">
        <is>
          <t>Caress of Laniph</t>
        </is>
      </c>
      <c r="B59" t="inlineStr">
        <is>
          <t>Lore</t>
        </is>
      </c>
      <c r="C59" t="inlineStr">
        <is>
          <t>Death</t>
        </is>
      </c>
      <c r="D59" t="inlineStr">
        <is>
          <t>6</t>
        </is>
      </c>
      <c r="E59" t="inlineStr">
        <is>
          <t>Touch</t>
        </is>
      </c>
      <c r="F59" t="inlineStr">
        <is>
          <t>1 (maximum)</t>
        </is>
      </c>
      <c r="G59" t="inlineStr">
        <is>
          <t>Instant</t>
        </is>
      </c>
      <c r="H59" t="inlineStr">
        <is>
          <t>Reaching out an ebon hand, you draw out your target's soulstuff. This is a magic missile with a Damage of +6 that ignores TB and AP. For every 2 Wounds you inflict, you permanently reduce the target's maximum Wounds by 1 and may add 1 SL to your channelling pool. You must use your hand for the Touch Test, not an enchanted staff.</t>
        </is>
      </c>
      <c r="I59" t="n">
        <v>247</v>
      </c>
    </row>
    <row r="60">
      <c r="A60" t="inlineStr">
        <is>
          <t>Dying Words</t>
        </is>
      </c>
      <c r="B60" t="inlineStr">
        <is>
          <t>Lore</t>
        </is>
      </c>
      <c r="C60" t="inlineStr">
        <is>
          <t>Death</t>
        </is>
      </c>
      <c r="D60" t="inlineStr">
        <is>
          <t>2</t>
        </is>
      </c>
      <c r="E60" t="inlineStr">
        <is>
          <t>Touch</t>
        </is>
      </c>
      <c r="F60" t="inlineStr">
        <is>
          <t>1</t>
        </is>
      </c>
      <c r="G60" t="inlineStr">
        <is>
          <t>Willpower Bonus Rounds</t>
        </is>
      </c>
      <c r="H60" t="inlineStr">
        <is>
          <t>For the Spell's duration, you can communicate with the dead soul, though they cannot take any action other than talking. They are not compelled to answer you, but the dead do not lie. CN: 9 Range: You Target: You Duration: Willpower Bonus Rounds You pull about you a pall fashioned from fine strands of Shyish.</t>
        </is>
      </c>
      <c r="I60" t="n">
        <v>247</v>
      </c>
    </row>
    <row r="61">
      <c r="A61" t="inlineStr">
        <is>
          <t>Sanctify</t>
        </is>
      </c>
      <c r="B61" t="inlineStr">
        <is>
          <t>Lore</t>
        </is>
      </c>
      <c r="C61" t="inlineStr">
        <is>
          <t>Death</t>
        </is>
      </c>
      <c r="D61" t="inlineStr">
        <is>
          <t>10</t>
        </is>
      </c>
      <c r="E61" t="inlineStr">
        <is>
          <t>Touch</t>
        </is>
      </c>
      <c r="F61" t="inlineStr">
        <is>
          <t>AoE (Willpower Bonus yards)</t>
        </is>
      </c>
      <c r="G61" t="inlineStr">
        <is>
          <t>Willpower minutes</t>
        </is>
      </c>
      <c r="H61" t="inlineStr">
        <is>
          <t>Creatures with the Undead Creature Trait cannot enter or leave the circle. CN: 6 Range: You Target: You Duration: Willpower Bonus Rounds You conjure a magical scythe. It acts like a Magical Halberd with a Damage of SB + WPB + 4. Undead enemies do not receive Advantage when Engaged with you.</t>
        </is>
      </c>
      <c r="I61" t="n">
        <v>247</v>
      </c>
    </row>
    <row r="62">
      <c r="A62" t="inlineStr">
        <is>
          <t>Soul Vortex</t>
        </is>
      </c>
      <c r="B62" t="inlineStr">
        <is>
          <t>Lore</t>
        </is>
      </c>
      <c r="C62" t="inlineStr">
        <is>
          <t>Death</t>
        </is>
      </c>
      <c r="D62" t="inlineStr">
        <is>
          <t>8</t>
        </is>
      </c>
      <c r="E62" t="inlineStr">
        <is>
          <t>Willpower yards</t>
        </is>
      </c>
      <c r="F62" t="inlineStr">
        <is>
          <t>AoE (Willpower Bonus yards)</t>
        </is>
      </c>
      <c r="G62" t="inlineStr">
        <is>
          <t>Instant</t>
        </is>
      </c>
      <c r="H62" t="inlineStr">
        <is>
          <t>You hurl a shimmering ball of Shyish which erupts into purple flames, swirling with ghostly faces, mouths agape in silent terror. Targets within the Area of Effect receive +1 Broken Condition. Targets with the Undead Creature Trait take a magic missile hit with a Damage of +10 that ignores Toughness Bonus and Armour Points.</t>
        </is>
      </c>
      <c r="I62" t="n">
        <v>247</v>
      </c>
    </row>
    <row r="63">
      <c r="A63" t="inlineStr">
        <is>
          <t>Steal Life</t>
        </is>
      </c>
      <c r="B63" t="inlineStr">
        <is>
          <t>Lore</t>
        </is>
      </c>
      <c r="C63" t="inlineStr">
        <is>
          <t>Death</t>
        </is>
      </c>
      <c r="D63" t="inlineStr">
        <is>
          <t>8</t>
        </is>
      </c>
      <c r="E63" t="inlineStr">
        <is>
          <t>Willpower yards</t>
        </is>
      </c>
      <c r="F63" t="inlineStr">
        <is>
          <t>1</t>
        </is>
      </c>
      <c r="G63" t="inlineStr">
        <is>
          <t>Instant</t>
        </is>
      </c>
      <c r="H63" t="inlineStr">
        <is>
          <t>Thin strands of purple mist connect you briefly to your target, who wastes away before your very eyes. This counts as a magic missile with a Damage of +6 that ignores Armour Points. Furthermore, you lose all Fatigued Conditions, and for every 2 Wounds you inflict, you may heal 1 Wound.</t>
        </is>
      </c>
      <c r="I63" t="n">
        <v>247</v>
      </c>
    </row>
    <row r="64">
      <c r="A64" t="inlineStr">
        <is>
          <t>Swift Passing</t>
        </is>
      </c>
      <c r="B64" t="inlineStr">
        <is>
          <t>Lore</t>
        </is>
      </c>
      <c r="C64" t="inlineStr">
        <is>
          <t>Death</t>
        </is>
      </c>
      <c r="D64" t="inlineStr">
        <is>
          <t>2</t>
        </is>
      </c>
      <c r="E64" t="inlineStr">
        <is>
          <t>Touch</t>
        </is>
      </c>
      <c r="F64" t="inlineStr">
        <is>
          <t>Special</t>
        </is>
      </c>
      <c r="G64" t="inlineStr">
        <is>
          <t>Instant</t>
        </is>
      </c>
      <c r="H64" t="inlineStr">
        <is>
          <t>Your touch brings the release of death to a single creature standing at Morr's threshold. If the target has 0 Wounds remaining, death swiftly follows. Furthermore, they cannot be raised as Undead.</t>
        </is>
      </c>
      <c r="I64" t="n">
        <v>247</v>
      </c>
    </row>
    <row r="65">
      <c r="A65" t="inlineStr">
        <is>
          <t>Cauterise</t>
        </is>
      </c>
      <c r="B65" t="inlineStr">
        <is>
          <t>Lore</t>
        </is>
      </c>
      <c r="C65" t="inlineStr">
        <is>
          <t>Fire</t>
        </is>
      </c>
      <c r="D65" t="inlineStr">
        <is>
          <t>2</t>
        </is>
      </c>
      <c r="E65" t="inlineStr">
        <is>
          <t>Touch</t>
        </is>
      </c>
      <c r="F65" t="inlineStr">
        <is>
          <t>1</t>
        </is>
      </c>
      <c r="G65" t="inlineStr">
        <is>
          <t>Instant</t>
        </is>
      </c>
      <c r="H65" t="inlineStr">
        <is>
          <t>The target heals 1 Wound, or 1 + SL Wounds if they have Arcane Magic (Fire), and removes all Bleeding Conditions. Furthermore, their wounds will not become infected. Targets without Arcane Magic (Fire) must pass a Challenging (+0 SL) Endurance Test or scream in agony. On an Astounding Failure, the target gains a Stunned Condition and is permanently scarred.</t>
        </is>
      </c>
      <c r="I65" t="n">
        <v>248</v>
      </c>
    </row>
    <row r="66">
      <c r="A66" t="inlineStr">
        <is>
          <t>Crown of Flame</t>
        </is>
      </c>
      <c r="B66" t="inlineStr">
        <is>
          <t>Lore</t>
        </is>
      </c>
      <c r="C66" t="inlineStr">
        <is>
          <t>Fire</t>
        </is>
      </c>
      <c r="D66" t="inlineStr">
        <is>
          <t>8</t>
        </is>
      </c>
      <c r="E66" t="inlineStr">
        <is>
          <t>You</t>
        </is>
      </c>
      <c r="F66" t="inlineStr">
        <is>
          <t>You</t>
        </is>
      </c>
      <c r="G66" t="inlineStr">
        <is>
          <t>Willpower Bonus Rounds</t>
        </is>
      </c>
      <c r="H66" t="inlineStr">
        <is>
          <t>You channel Aqshy into a majestic crown of inspiring fire about your brow. You gain +1 War Leader Talent (see page 128) and the Fear Trait (see page 358). For every +2 SL, you may increase your Fear value by 1 or take War Leader again. Furthermore, gain a +1 SL bonus on all Channelling and Casting Tests using Aqshy.</t>
        </is>
      </c>
      <c r="I66" t="n">
        <v>248</v>
      </c>
    </row>
    <row r="67">
      <c r="A67" t="inlineStr">
        <is>
          <t>Firewall</t>
        </is>
      </c>
      <c r="B67" t="inlineStr">
        <is>
          <t>Lore</t>
        </is>
      </c>
      <c r="C67" t="inlineStr">
        <is>
          <t>Fire</t>
        </is>
      </c>
      <c r="D67" t="inlineStr">
        <is>
          <t>6</t>
        </is>
      </c>
      <c r="E67" t="inlineStr">
        <is>
          <t>Willpower yards</t>
        </is>
      </c>
      <c r="F67" t="inlineStr">
        <is>
          <t>AoE (Special)</t>
        </is>
      </c>
      <c r="G67" t="inlineStr">
        <is>
          <t>Willpower Bonus Rounds</t>
        </is>
      </c>
      <c r="H67" t="inlineStr">
        <is>
          <t>You channel a streak of Aqshy, creating a wall of flame. The firewall is Willpower Bonus yards long, 1 yard high, and 1 yard deep. Anyone crossing the firewall gains 1 Ablaze Condition and suffers a magic missile hit with a Damage of +WPB. You can add extra Area of Effect with Overcasting to multiply its length.</t>
        </is>
      </c>
      <c r="I67" t="n">
        <v>248</v>
      </c>
    </row>
    <row r="68">
      <c r="A68" t="inlineStr">
        <is>
          <t>Flaming Hearts</t>
        </is>
      </c>
      <c r="B68" t="inlineStr">
        <is>
          <t>Lore</t>
        </is>
      </c>
      <c r="C68" t="inlineStr">
        <is>
          <t>Fire</t>
        </is>
      </c>
      <c r="D68" t="inlineStr">
        <is>
          <t>5</t>
        </is>
      </c>
      <c r="E68" t="inlineStr">
        <is>
          <t>You</t>
        </is>
      </c>
      <c r="F68" t="inlineStr">
        <is>
          <t>AoE (Fellowship Bonus yards)</t>
        </is>
      </c>
      <c r="G68" t="inlineStr">
        <is>
          <t>Instant</t>
        </is>
      </c>
      <c r="H68" t="inlineStr">
        <is>
          <t>Your voice takes on a rich resonance, echoing with Aqshy's fiery passion. Allied characters lose all Broken and Fatigued Conditions and may take a Frenzy Test (see page 184).</t>
        </is>
      </c>
      <c r="I68" t="n">
        <v>248</v>
      </c>
    </row>
    <row r="69">
      <c r="A69" t="inlineStr">
        <is>
          <t>Flaming Sword of Rhuin</t>
        </is>
      </c>
      <c r="B69" t="inlineStr">
        <is>
          <t>Lore</t>
        </is>
      </c>
      <c r="C69" t="inlineStr">
        <is>
          <t>Fire</t>
        </is>
      </c>
      <c r="D69" t="inlineStr">
        <is>
          <t>8</t>
        </is>
      </c>
      <c r="E69" t="inlineStr">
        <is>
          <t>Willpower yards</t>
        </is>
      </c>
      <c r="F69" t="inlineStr">
        <is>
          <t>1 sword (Hand Weapon)</t>
        </is>
      </c>
      <c r="G69" t="inlineStr">
        <is>
          <t>Willpower Bonus Rounds</t>
        </is>
      </c>
      <c r="H69" t="inlineStr">
        <is>
          <t>You wreathe a sword in magical flames. The weapon has Damage SB + 6 and the Damaging and Magical Qualities (see page 304). Hits with the blade inflict 1 Ablaze Condition. If a wielder lacks Arcane Magic (Fire) and they Fumble an attack with the flaming sword, they gain 1 Ablaze Condition.</t>
        </is>
      </c>
      <c r="I69" t="n">
        <v>248</v>
      </c>
    </row>
    <row r="70">
      <c r="A70" t="inlineStr">
        <is>
          <t>Great Fires of U'Zhul</t>
        </is>
      </c>
      <c r="B70" t="inlineStr">
        <is>
          <t>Lore</t>
        </is>
      </c>
      <c r="C70" t="inlineStr">
        <is>
          <t>Fire</t>
        </is>
      </c>
      <c r="D70" t="inlineStr">
        <is>
          <t>10</t>
        </is>
      </c>
      <c r="E70" t="inlineStr">
        <is>
          <t>Willpower yards</t>
        </is>
      </c>
      <c r="F70" t="inlineStr">
        <is>
          <t>1 (maximum) + AoE (Willpower Bonus yards)</t>
        </is>
      </c>
      <c r="G70" t="inlineStr">
        <is>
          <t>Willpower Bonus Rounds</t>
        </is>
      </c>
      <c r="H70" t="inlineStr">
        <is>
          <t>The flames erupt into a furious blaze, burning with the heat of a forge. The central target suffers a magic missile hit with Damage +10 that ignores AP and inflicts 2 Ablaze Conditions and the Prone Condition. Other targets in the Area of Effect suffer a Damage +5 magic missile hit ignoring AP.</t>
        </is>
      </c>
      <c r="I70" t="n">
        <v>248</v>
      </c>
    </row>
    <row r="71">
      <c r="A71" t="inlineStr">
        <is>
          <t>Purge</t>
        </is>
      </c>
      <c r="B71" t="inlineStr">
        <is>
          <t>Lore</t>
        </is>
      </c>
      <c r="C71" t="inlineStr">
        <is>
          <t>Fire</t>
        </is>
      </c>
      <c r="D71" t="inlineStr">
        <is>
          <t>10</t>
        </is>
      </c>
      <c r="E71" t="inlineStr">
        <is>
          <t>Willpower yards</t>
        </is>
      </c>
      <c r="F71" t="inlineStr">
        <is>
          <t>AoE (Willpower Bonus yards)</t>
        </is>
      </c>
      <c r="G71" t="inlineStr">
        <is>
          <t>Willpower Bonus Rounds</t>
        </is>
      </c>
      <c r="H71" t="inlineStr">
        <is>
          <t>Anything flammable is set alight, and any creatures in the area take +SL Ablaze Conditions. If the location contains a Corrupting Influence, such as Dhar, warpstone, or a Chaos-tainted object, it smoulders and blackens, beginning to burn away.</t>
        </is>
      </c>
      <c r="I71" t="n">
        <v>249</v>
      </c>
    </row>
    <row r="72">
      <c r="A72" t="inlineStr">
        <is>
          <t>Barkskin</t>
        </is>
      </c>
      <c r="B72" t="inlineStr">
        <is>
          <t>Lore</t>
        </is>
      </c>
      <c r="C72" t="inlineStr">
        <is>
          <t>Heavens</t>
        </is>
      </c>
      <c r="D72" t="inlineStr">
        <is>
          <t>3</t>
        </is>
      </c>
      <c r="E72" t="inlineStr">
        <is>
          <t>Touch</t>
        </is>
      </c>
      <c r="F72" t="inlineStr">
        <is>
          <t>1</t>
        </is>
      </c>
      <c r="G72" t="inlineStr">
        <is>
          <t>Willpower Bonus Rounds</t>
        </is>
      </c>
      <c r="H72" t="inlineStr">
        <is>
          <t>You cause the target's skin to become hard and rough like the bark of a tree. The target gains +2 Toughness Bonus, but suffers -10 Agility and Dexterity.</t>
        </is>
      </c>
      <c r="I72" t="n">
        <v>250</v>
      </c>
    </row>
    <row r="73">
      <c r="A73" t="inlineStr">
        <is>
          <t>Cerulean Shield</t>
        </is>
      </c>
      <c r="B73" t="inlineStr">
        <is>
          <t>Lore</t>
        </is>
      </c>
      <c r="C73" t="inlineStr">
        <is>
          <t>Heavens</t>
        </is>
      </c>
      <c r="D73" t="inlineStr">
        <is>
          <t>7</t>
        </is>
      </c>
      <c r="E73" t="inlineStr">
        <is>
          <t>You</t>
        </is>
      </c>
      <c r="F73" t="inlineStr">
        <is>
          <t>You</t>
        </is>
      </c>
      <c r="G73" t="inlineStr">
        <is>
          <t>Willpower Bonus Rounds</t>
        </is>
      </c>
      <c r="H73" t="inlineStr">
        <is>
          <t>You encase yourself in a crackling cage of sparking electricity and Azyr. For the Spell's duration, gain +3 Armour Points to all Locations against metal weapons — such as daggers, swords, and arrows with metal tips. If struck by metal melee weapons, your attacker takes 6 Damage to their striking arm.</t>
        </is>
      </c>
      <c r="I73" t="n">
        <v>249</v>
      </c>
    </row>
    <row r="74">
      <c r="A74" t="inlineStr">
        <is>
          <t>Comet of Casandora</t>
        </is>
      </c>
      <c r="B74" t="inlineStr">
        <is>
          <t>Lore</t>
        </is>
      </c>
      <c r="C74" t="inlineStr">
        <is>
          <t>Heavens</t>
        </is>
      </c>
      <c r="D74" t="inlineStr">
        <is>
          <t>16</t>
        </is>
      </c>
      <c r="E74" t="inlineStr">
        <is>
          <t>Initiative yards</t>
        </is>
      </c>
      <c r="F74" t="inlineStr">
        <is>
          <t>AoE (2 x Willpower Bonus yards)</t>
        </is>
      </c>
      <c r="G74" t="inlineStr">
        <is>
          <t>Special</t>
        </is>
      </c>
      <c r="H74" t="inlineStr">
        <is>
          <t>Select a target area of impact. At the end of the next Round, make a Very Hard (-3 SL) Ballistic Skill or Average (+2 SL) Lore (Astronomy) Test. For every +SL you achieve on the Ballistic Skill or Lore Test, you may move your area of impact by Willpower Bonus yards. For every -SL, the GM moves the area of impact by 1d10 yards in a random direction.</t>
        </is>
      </c>
      <c r="I74" t="n">
        <v>249</v>
      </c>
    </row>
    <row r="75">
      <c r="A75" t="inlineStr">
        <is>
          <t>Coruscating Arc</t>
        </is>
      </c>
      <c r="B75" t="inlineStr">
        <is>
          <t>Lore</t>
        </is>
      </c>
      <c r="C75" t="inlineStr">
        <is>
          <t>Heavens</t>
        </is>
      </c>
      <c r="D75" t="inlineStr">
        <is>
          <t>12</t>
        </is>
      </c>
      <c r="E75" t="inlineStr">
        <is>
          <t>Willpower yards</t>
        </is>
      </c>
      <c r="F75" t="inlineStr">
        <is>
          <t>Special</t>
        </is>
      </c>
      <c r="G75" t="inlineStr">
        <is>
          <t>Instant</t>
        </is>
      </c>
      <c r="H75" t="inlineStr">
        <is>
          <t>A crackling bolt of chain lightning shoots from your fingertips, scything through the enemy's ranks. Coruscating Arc acts like Chain Attack (see page 243), except its Damage is +10 and it inflicts 1 Blinded Condition.</t>
        </is>
      </c>
      <c r="I75" t="n">
        <v>249</v>
      </c>
    </row>
    <row r="76">
      <c r="A76" t="inlineStr">
        <is>
          <t>Earthblood</t>
        </is>
      </c>
      <c r="B76" t="inlineStr">
        <is>
          <t>Lore</t>
        </is>
      </c>
      <c r="C76" t="inlineStr">
        <is>
          <t>Heavens</t>
        </is>
      </c>
      <c r="D76" t="inlineStr">
        <is>
          <t>6</t>
        </is>
      </c>
      <c r="E76" t="inlineStr">
        <is>
          <t>You</t>
        </is>
      </c>
      <c r="F76" t="inlineStr">
        <is>
          <t>AoE (Willpower Bonus yards)</t>
        </is>
      </c>
      <c r="G76" t="inlineStr">
        <is>
          <t>Willpower Bonus Rounds</t>
        </is>
      </c>
      <c r="H76" t="inlineStr">
        <is>
          <t>You draw up wholesome energies from the soil. To cast this Spell, you must be in direct contact with the earth — either touching it, or standing barefoot. Any living creatures in direct contact with the earth within the Area of Effect heal WPB Wounds at the start of every Round.</t>
        </is>
      </c>
      <c r="I76" t="n">
        <v>250</v>
      </c>
    </row>
    <row r="77">
      <c r="A77" t="inlineStr">
        <is>
          <t>Earthpool</t>
        </is>
      </c>
      <c r="B77" t="inlineStr">
        <is>
          <t>Lore</t>
        </is>
      </c>
      <c r="C77" t="inlineStr">
        <is>
          <t>Heavens</t>
        </is>
      </c>
      <c r="D77" t="inlineStr">
        <is>
          <t>7</t>
        </is>
      </c>
      <c r="E77" t="inlineStr">
        <is>
          <t>Willpower yards</t>
        </is>
      </c>
      <c r="F77" t="inlineStr">
        <is>
          <t>You</t>
        </is>
      </c>
      <c r="G77" t="inlineStr">
        <is>
          <t>Instant</t>
        </is>
      </c>
      <c r="H77" t="inlineStr">
        <is>
          <t>You appear at the start of the next Round at any point within range, erupting from the earth violently. Any creature you erupt under is thrown back 1 yard in a random direction and falls Prone. This Spell will not allow you to move through solid rock, but will allow you to move through water.</t>
        </is>
      </c>
      <c r="I77" t="n">
        <v>250</v>
      </c>
    </row>
    <row r="78">
      <c r="A78" t="inlineStr">
        <is>
          <t>Fare of the Land</t>
        </is>
      </c>
      <c r="B78" t="inlineStr">
        <is>
          <t>Lore</t>
        </is>
      </c>
      <c r="C78" t="inlineStr">
        <is>
          <t>Heavens</t>
        </is>
      </c>
      <c r="D78" t="inlineStr">
        <is>
          <t>4</t>
        </is>
      </c>
      <c r="E78" t="inlineStr">
        <is>
          <t>Touch</t>
        </is>
      </c>
      <c r="F78" t="inlineStr">
        <is>
          <t>1</t>
        </is>
      </c>
      <c r="G78" t="inlineStr">
        <is>
          <t>Willpower Bonus days</t>
        </is>
      </c>
      <c r="H78" t="inlineStr">
        <is>
          <t>You flood the target's body with nourishing Ghyran. The target need not eat or drink. They still excrete as normal, though their leavings are verdant green.</t>
        </is>
      </c>
      <c r="I78" t="n">
        <v>250</v>
      </c>
    </row>
    <row r="79">
      <c r="A79" t="inlineStr">
        <is>
          <t>Fate's Fickle Fingers</t>
        </is>
      </c>
      <c r="B79" t="inlineStr">
        <is>
          <t>Lore</t>
        </is>
      </c>
      <c r="C79" t="inlineStr">
        <is>
          <t>Heavens</t>
        </is>
      </c>
      <c r="D79" t="inlineStr">
        <is>
          <t>6</t>
        </is>
      </c>
      <c r="E79" t="inlineStr">
        <is>
          <t>You</t>
        </is>
      </c>
      <c r="F79" t="inlineStr">
        <is>
          <t>AoE (Initiative Bonus yards)</t>
        </is>
      </c>
      <c r="G79" t="inlineStr">
        <is>
          <t>Willpower Bonus Rounds</t>
        </is>
      </c>
      <c r="H79" t="inlineStr">
        <is>
          <t>All allies within the Area of Effect, excluding those with the Arcane Magic (Heavens) Talent, create a single pool of Fortune Points. All may draw on the pool; first come, first served. When the Spell ends, you reallocate any remaining Fortune Points as fairly as possible.</t>
        </is>
      </c>
      <c r="I79" t="n">
        <v>249</v>
      </c>
    </row>
    <row r="80">
      <c r="A80" t="inlineStr">
        <is>
          <t>Starcrossed</t>
        </is>
      </c>
      <c r="B80" t="inlineStr">
        <is>
          <t>Lore</t>
        </is>
      </c>
      <c r="C80" t="inlineStr">
        <is>
          <t>Heavens</t>
        </is>
      </c>
      <c r="D80" t="inlineStr">
        <is>
          <t>7</t>
        </is>
      </c>
      <c r="E80" t="inlineStr">
        <is>
          <t>Initiative yards</t>
        </is>
      </c>
      <c r="F80" t="inlineStr">
        <is>
          <t>1</t>
        </is>
      </c>
      <c r="G80" t="inlineStr">
        <is>
          <t>Initiative Bonus Rounds</t>
        </is>
      </c>
      <c r="H80" t="inlineStr">
        <is>
          <t>You can spend Fortune Points to force the target to reroll Tests.</t>
        </is>
      </c>
      <c r="I80" t="n">
        <v>249</v>
      </c>
    </row>
    <row r="81">
      <c r="A81" t="inlineStr">
        <is>
          <t>The First Portent of Amul</t>
        </is>
      </c>
      <c r="B81" t="inlineStr">
        <is>
          <t>Lore</t>
        </is>
      </c>
      <c r="C81" t="inlineStr">
        <is>
          <t>Heavens</t>
        </is>
      </c>
      <c r="D81" t="inlineStr">
        <is>
          <t>3</t>
        </is>
      </c>
      <c r="E81" t="inlineStr">
        <is>
          <t>You</t>
        </is>
      </c>
      <c r="F81" t="inlineStr">
        <is>
          <t>You</t>
        </is>
      </c>
      <c r="G81" t="inlineStr">
        <is>
          <t>Initiative Bonus Rounds</t>
        </is>
      </c>
      <c r="H81" t="inlineStr">
        <is>
          <t>You read signs about what the future holds. For the duration of the spell you gain +1 Fortune Point. For every +2 SL, you may gain +1 more.</t>
        </is>
      </c>
      <c r="I81" t="n">
        <v>249</v>
      </c>
    </row>
    <row r="82">
      <c r="A82" t="inlineStr">
        <is>
          <t>The Second Portent of Amul</t>
        </is>
      </c>
      <c r="B82" t="inlineStr">
        <is>
          <t>Lore</t>
        </is>
      </c>
      <c r="C82" t="inlineStr">
        <is>
          <t>Heavens</t>
        </is>
      </c>
      <c r="D82" t="inlineStr">
        <is>
          <t>6</t>
        </is>
      </c>
      <c r="E82" t="inlineStr">
        <is>
          <t>You</t>
        </is>
      </c>
      <c r="F82" t="inlineStr">
        <is>
          <t>You</t>
        </is>
      </c>
      <c r="G82" t="inlineStr">
        <is>
          <t>Initiative Bonus Rounds</t>
        </is>
      </c>
      <c r="H82" t="inlineStr">
        <is>
          <t>You divine clues as to forthcoming events. For the duration of the spell you gain 1 + SL Fortune Points. For every +2 SL, you may gain +1 additional Fortune Point.</t>
        </is>
      </c>
      <c r="I82" t="n">
        <v>250</v>
      </c>
    </row>
    <row r="83">
      <c r="A83" t="inlineStr">
        <is>
          <t>The Third Portent of Amul</t>
        </is>
      </c>
      <c r="B83" t="inlineStr">
        <is>
          <t>Lore</t>
        </is>
      </c>
      <c r="C83" t="inlineStr">
        <is>
          <t>Heavens</t>
        </is>
      </c>
      <c r="D83" t="inlineStr">
        <is>
          <t>12</t>
        </is>
      </c>
      <c r="E83" t="inlineStr">
        <is>
          <t>You</t>
        </is>
      </c>
      <c r="F83" t="inlineStr">
        <is>
          <t>You</t>
        </is>
      </c>
      <c r="G83" t="inlineStr">
        <is>
          <t>Initiative Rounds</t>
        </is>
      </c>
      <c r="H83" t="inlineStr">
        <is>
          <t>You divine a portent of doom. For the duration of the spell you gain +1 Fate Point.</t>
        </is>
      </c>
      <c r="I83" t="n">
        <v>250</v>
      </c>
    </row>
    <row r="84">
      <c r="A84" t="inlineStr">
        <is>
          <t>Forest of Thorns</t>
        </is>
      </c>
      <c r="B84" t="inlineStr">
        <is>
          <t>Lore</t>
        </is>
      </c>
      <c r="C84" t="inlineStr">
        <is>
          <t>Life</t>
        </is>
      </c>
      <c r="D84" t="inlineStr">
        <is>
          <t>6</t>
        </is>
      </c>
      <c r="E84" t="inlineStr">
        <is>
          <t>Willpower yards</t>
        </is>
      </c>
      <c r="F84" t="inlineStr">
        <is>
          <t>AoE (Willpower Bonus yards)</t>
        </is>
      </c>
      <c r="G84" t="inlineStr">
        <is>
          <t>Willpower Bonus Rounds</t>
        </is>
      </c>
      <c r="H84" t="inlineStr">
        <is>
          <t>You cause a dense knot of wickedly spiked brambles and tangled vines to burst upwards, covering the Area of Effect. For the duration, anyone without the Arcane Magic (Life) Talent attempting to traverse the area on foot must make a Hard (-2 SL) Athletics Test.</t>
        </is>
      </c>
      <c r="I84" t="n">
        <v>251</v>
      </c>
    </row>
    <row r="85">
      <c r="A85" t="inlineStr">
        <is>
          <t>Lie of the Land</t>
        </is>
      </c>
      <c r="B85" t="inlineStr">
        <is>
          <t>Lore</t>
        </is>
      </c>
      <c r="C85" t="inlineStr">
        <is>
          <t>Life</t>
        </is>
      </c>
      <c r="D85" t="inlineStr">
        <is>
          <t>5</t>
        </is>
      </c>
      <c r="E85" t="inlineStr">
        <is>
          <t>Initiative Bonus miles</t>
        </is>
      </c>
      <c r="F85" t="inlineStr">
        <is>
          <t>You</t>
        </is>
      </c>
      <c r="G85" t="inlineStr">
        <is>
          <t>Special</t>
        </is>
      </c>
      <c r="H85" t="inlineStr">
        <is>
          <t>After communing for 1 minute, you receive a mental map of natural features — land, forests, rivers — within range. Settlements may be alluded to as areas of clear terrain or trenches. If you increase the range using Overcasting, the time it takes to commune with the land increases by 1 minute for each SL.</t>
        </is>
      </c>
      <c r="I85" t="n">
        <v>251</v>
      </c>
    </row>
    <row r="86">
      <c r="A86" t="inlineStr">
        <is>
          <t>Lifebloom</t>
        </is>
      </c>
      <c r="B86" t="inlineStr">
        <is>
          <t>Lore</t>
        </is>
      </c>
      <c r="C86" t="inlineStr">
        <is>
          <t>Life</t>
        </is>
      </c>
      <c r="D86" t="inlineStr">
        <is>
          <t>8</t>
        </is>
      </c>
      <c r="E86" t="inlineStr">
        <is>
          <t>Willpower Bonus yards</t>
        </is>
      </c>
      <c r="F86" t="inlineStr">
        <is>
          <t>Special</t>
        </is>
      </c>
      <c r="G86" t="inlineStr">
        <is>
          <t>Instant</t>
        </is>
      </c>
      <c r="H86" t="inlineStr">
        <is>
          <t>As examples of the Spell's power, you may target either a dry riverbed, well, field, or a domestic animal. If you successfully cast the Spell, the target bursts to life: A dry river begins to flow once again. A dry or polluted well becomes clean and fresh.</t>
        </is>
      </c>
      <c r="I86" t="n">
        <v>251</v>
      </c>
    </row>
    <row r="87">
      <c r="A87" t="inlineStr">
        <is>
          <t>Regenerate</t>
        </is>
      </c>
      <c r="B87" t="inlineStr">
        <is>
          <t>Lore</t>
        </is>
      </c>
      <c r="C87" t="inlineStr">
        <is>
          <t>Life</t>
        </is>
      </c>
      <c r="D87" t="inlineStr">
        <is>
          <t>6</t>
        </is>
      </c>
      <c r="E87" t="inlineStr">
        <is>
          <t>Touch</t>
        </is>
      </c>
      <c r="F87" t="inlineStr">
        <is>
          <t>1</t>
        </is>
      </c>
      <c r="G87" t="inlineStr">
        <is>
          <t>Willpower Bonus Rounds</t>
        </is>
      </c>
      <c r="H87" t="inlineStr">
        <is>
          <t>Your target gains the Regeneration Creature Trait (see page 360).</t>
        </is>
      </c>
      <c r="I87" t="n">
        <v>251</v>
      </c>
    </row>
    <row r="88">
      <c r="A88" t="inlineStr">
        <is>
          <t>Banishment</t>
        </is>
      </c>
      <c r="B88" t="inlineStr">
        <is>
          <t>Lore</t>
        </is>
      </c>
      <c r="C88" t="inlineStr">
        <is>
          <t>Light</t>
        </is>
      </c>
      <c r="D88" t="inlineStr">
        <is>
          <t>12</t>
        </is>
      </c>
      <c r="E88" t="inlineStr">
        <is>
          <t>You</t>
        </is>
      </c>
      <c r="F88" t="inlineStr">
        <is>
          <t>AoE (Willpower Bonus yards)</t>
        </is>
      </c>
      <c r="G88" t="inlineStr">
        <is>
          <t>Instant</t>
        </is>
      </c>
      <c r="H88" t="inlineStr">
        <is>
          <t>You open your hands and a cleansing halo of Hysh issues forth, affecting all creatures within the Area of Effect whose Toughness is lower than your Willpower. Targets with the Daemonic or Undead Creature Trait gain the Unstable Creature Trait (see page 363). If they already have the Unstable Trait, they are reduced to 0 Wounds.</t>
        </is>
      </c>
      <c r="I88" t="n">
        <v>251</v>
      </c>
    </row>
    <row r="89">
      <c r="A89" t="inlineStr">
        <is>
          <t>Blinding Light</t>
        </is>
      </c>
      <c r="B89" t="inlineStr">
        <is>
          <t>Lore</t>
        </is>
      </c>
      <c r="C89" t="inlineStr">
        <is>
          <t>Light</t>
        </is>
      </c>
      <c r="D89" t="inlineStr">
        <is>
          <t>5</t>
        </is>
      </c>
      <c r="E89" t="inlineStr">
        <is>
          <t>You</t>
        </is>
      </c>
      <c r="F89" t="inlineStr">
        <is>
          <t>You</t>
        </is>
      </c>
      <c r="G89" t="inlineStr">
        <is>
          <t>Instant</t>
        </is>
      </c>
      <c r="H89" t="inlineStr">
        <is>
          <t>You emit a blinding flash of light from your hand or staff. Everyone looking at you within WPB yards receives 3 Blinded Conditions unless they possess the Arcane Magic (Light) Talent.</t>
        </is>
      </c>
      <c r="I89" t="n">
        <v>251</v>
      </c>
    </row>
    <row r="90">
      <c r="A90" t="inlineStr">
        <is>
          <t>Clarity of Thought</t>
        </is>
      </c>
      <c r="B90" t="inlineStr">
        <is>
          <t>Lore</t>
        </is>
      </c>
      <c r="C90" t="inlineStr">
        <is>
          <t>Light</t>
        </is>
      </c>
      <c r="D90" t="inlineStr">
        <is>
          <t>6</t>
        </is>
      </c>
      <c r="E90" t="inlineStr">
        <is>
          <t>Touch</t>
        </is>
      </c>
      <c r="F90" t="inlineStr">
        <is>
          <t>1</t>
        </is>
      </c>
      <c r="G90" t="inlineStr">
        <is>
          <t>Intelligence minutes</t>
        </is>
      </c>
      <c r="H90" t="inlineStr">
        <is>
          <t>You calm your target's mind, allowing them to think clearly. The target ignores any negative modifiers to their mental processes, such as Conditions like Stunned, Mental Mutations, Psychologies, and so forth while the Spell is in effect.</t>
        </is>
      </c>
      <c r="I90" t="n">
        <v>251</v>
      </c>
    </row>
    <row r="91">
      <c r="A91" t="inlineStr">
        <is>
          <t>Daemonbane</t>
        </is>
      </c>
      <c r="B91" t="inlineStr">
        <is>
          <t>Lore</t>
        </is>
      </c>
      <c r="C91" t="inlineStr">
        <is>
          <t>Light</t>
        </is>
      </c>
      <c r="D91" t="inlineStr">
        <is>
          <t>10</t>
        </is>
      </c>
      <c r="E91" t="inlineStr">
        <is>
          <t>Willpower Bonus yards</t>
        </is>
      </c>
      <c r="F91" t="inlineStr">
        <is>
          <t>1 Daemon</t>
        </is>
      </c>
      <c r="G91" t="inlineStr">
        <is>
          <t>Instant</t>
        </is>
      </c>
      <c r="H91" t="inlineStr">
        <is>
          <t>If the target's Toughness is higher than your Intelligence but less than double, halve their maximum Wounds for the rest of the encounter. If lower, you banish them with a blinding white light Everyone looking at a banished daemon from Willpower yards away receives 3 Blinded Conditions, unless they possess the Arcane Magic (Light) Talent.</t>
        </is>
      </c>
      <c r="I91" t="n">
        <v>252</v>
      </c>
    </row>
    <row r="92">
      <c r="A92" t="inlineStr">
        <is>
          <t>Healing Light</t>
        </is>
      </c>
      <c r="B92" t="inlineStr">
        <is>
          <t>Lore</t>
        </is>
      </c>
      <c r="C92" t="inlineStr">
        <is>
          <t>Light</t>
        </is>
      </c>
      <c r="D92" t="inlineStr">
        <is>
          <t>8</t>
        </is>
      </c>
      <c r="E92" t="inlineStr">
        <is>
          <t>Willpower Bonus yards</t>
        </is>
      </c>
      <c r="F92" t="inlineStr">
        <is>
          <t>1</t>
        </is>
      </c>
      <c r="G92" t="inlineStr">
        <is>
          <t>Instant</t>
        </is>
      </c>
      <c r="H92" t="inlineStr">
        <is>
          <t>Your target glows with a cleansing light, healing Intelligence Bonus Wounds and removing poisons and intoxicants. If you pass a Very Hard (-3 SL) Channelling (Hysh) Test, 1 Corruption Point gained in the last hour is also lost.</t>
        </is>
      </c>
      <c r="I92" t="n">
        <v>252</v>
      </c>
    </row>
    <row r="93">
      <c r="A93" t="inlineStr">
        <is>
          <t>Net of Amyntok</t>
        </is>
      </c>
      <c r="B93" t="inlineStr">
        <is>
          <t>Lore</t>
        </is>
      </c>
      <c r="C93" t="inlineStr">
        <is>
          <t>Light</t>
        </is>
      </c>
      <c r="D93" t="inlineStr">
        <is>
          <t>8</t>
        </is>
      </c>
      <c r="E93" t="inlineStr">
        <is>
          <t>Intelligence Bonus yards</t>
        </is>
      </c>
      <c r="F93" t="inlineStr">
        <is>
          <t>1</t>
        </is>
      </c>
      <c r="G93" t="inlineStr">
        <is>
          <t>Intelligence Bonus Rounds</t>
        </is>
      </c>
      <c r="H93" t="inlineStr">
        <is>
          <t>Target loses their Move and gains +1 Stunned Condition, which they cannot lose while the Spell is active. When recovering from the Condition, targets Test their Intelligence instead of the Endurance Skill. Bestial creatures are immune to this Spell.</t>
        </is>
      </c>
      <c r="I93" t="n">
        <v>252</v>
      </c>
    </row>
    <row r="94">
      <c r="A94" t="inlineStr">
        <is>
          <t>Phâ's Protection</t>
        </is>
      </c>
      <c r="B94" t="inlineStr">
        <is>
          <t>Lore</t>
        </is>
      </c>
      <c r="C94" t="inlineStr">
        <is>
          <t>Light</t>
        </is>
      </c>
      <c r="D94" t="inlineStr">
        <is>
          <t>10</t>
        </is>
      </c>
      <c r="E94" t="inlineStr">
        <is>
          <t>You</t>
        </is>
      </c>
      <c r="F94" t="inlineStr">
        <is>
          <t>AoE (Willpower Bonus yards)</t>
        </is>
      </c>
      <c r="G94" t="inlineStr">
        <is>
          <t>Willpower Bonus Rounds</t>
        </is>
      </c>
      <c r="H94" t="inlineStr">
        <is>
          <t>You summon a protective aura of pure holy light. Creatures with the Daemonic or Undead Creature Trait and those with mutations cannot enter the Area of Effect — those already within the area gain a Broken Condition until they leave. Creatures within the area cannot gain any Corruption Points while the Spell is active.</t>
        </is>
      </c>
      <c r="I94" t="n">
        <v>252</v>
      </c>
    </row>
    <row r="95">
      <c r="A95" t="inlineStr">
        <is>
          <t>Speed of Thought</t>
        </is>
      </c>
      <c r="B95" t="inlineStr">
        <is>
          <t>Lore</t>
        </is>
      </c>
      <c r="C95" t="inlineStr">
        <is>
          <t>Light</t>
        </is>
      </c>
      <c r="D95" t="inlineStr">
        <is>
          <t>8</t>
        </is>
      </c>
      <c r="E95" t="inlineStr">
        <is>
          <t>You</t>
        </is>
      </c>
      <c r="F95" t="inlineStr">
        <is>
          <t>You</t>
        </is>
      </c>
      <c r="G95" t="inlineStr">
        <is>
          <t>Willpower Bonus Rounds</t>
        </is>
      </c>
      <c r="H95" t="inlineStr">
        <is>
          <t>A lattice of Hysh overlays your mind, allowing you to think rapidly. Gain +20 to Intelligence and Initiative.</t>
        </is>
      </c>
      <c r="I95" t="n">
        <v>252</v>
      </c>
    </row>
    <row r="96">
      <c r="A96" t="inlineStr">
        <is>
          <t>Enchant Weapon</t>
        </is>
      </c>
      <c r="B96" t="inlineStr">
        <is>
          <t>Lore</t>
        </is>
      </c>
      <c r="C96" t="inlineStr">
        <is>
          <t>Metal</t>
        </is>
      </c>
      <c r="D96" t="inlineStr">
        <is>
          <t>6</t>
        </is>
      </c>
      <c r="E96" t="inlineStr">
        <is>
          <t>1 yard</t>
        </is>
      </c>
      <c r="F96" t="inlineStr">
        <is>
          <t>Special</t>
        </is>
      </c>
      <c r="G96" t="inlineStr">
        <is>
          <t>Willpower Bonus Rounds</t>
        </is>
      </c>
      <c r="H96" t="inlineStr">
        <is>
          <t>You encase a single non-magical weapon with heavy bands of Chamon, enhancing its potency. For the duration of the Spell, it gains +WPB Damage and the Magical and Unbreakable Qualities (see pages 304–305). For every +3 SL, you may also add 1 Weapon Quality or remove 1 Weapon Flaw while the Spell is active.</t>
        </is>
      </c>
      <c r="I96" t="n">
        <v>253</v>
      </c>
    </row>
    <row r="97">
      <c r="A97" t="inlineStr">
        <is>
          <t>Feather of Lead</t>
        </is>
      </c>
      <c r="B97" t="inlineStr">
        <is>
          <t>Lore</t>
        </is>
      </c>
      <c r="C97" t="inlineStr">
        <is>
          <t>Metal</t>
        </is>
      </c>
      <c r="D97" t="inlineStr">
        <is>
          <t>5</t>
        </is>
      </c>
      <c r="E97" t="inlineStr">
        <is>
          <t>Willpower yards</t>
        </is>
      </c>
      <c r="F97" t="inlineStr">
        <is>
          <t>Area of Effect (Willpower Bonus yards)</t>
        </is>
      </c>
      <c r="G97" t="inlineStr">
        <is>
          <t>Willpower Bonus Rounds</t>
        </is>
      </c>
      <c r="H97" t="inlineStr">
        <is>
          <t>Calling on the Golden Wind, you alter the density of your target's belongings, raising or lowering their weight. For the duration of the Spell, choose one effect for everyone within the area of effect: Count as two steps more Overburdened. Do not count as Overburdened. See page 299 for details on Encumbrance.</t>
        </is>
      </c>
      <c r="I97" t="n">
        <v>253</v>
      </c>
    </row>
    <row r="98">
      <c r="A98" t="inlineStr">
        <is>
          <t>Fool's Gold</t>
        </is>
      </c>
      <c r="B98" t="inlineStr">
        <is>
          <t>Lore</t>
        </is>
      </c>
      <c r="C98" t="inlineStr">
        <is>
          <t>Metal</t>
        </is>
      </c>
      <c r="D98" t="inlineStr">
        <is>
          <t>4</t>
        </is>
      </c>
      <c r="E98" t="inlineStr">
        <is>
          <t>Touch</t>
        </is>
      </c>
      <c r="F98" t="inlineStr">
        <is>
          <t>1</t>
        </is>
      </c>
      <c r="G98" t="inlineStr">
        <is>
          <t>Willpower minutes</t>
        </is>
      </c>
      <c r="H98" t="inlineStr">
        <is>
          <t>For the duration of the Spell, all metal in the object becomes gold. This is not an illusion: it has transformed into gold. When the Spell ends, the item reverts to its original metal. This Spell can ruin good weapons, make armour too heavy to wear, and turn lead coins into something more appealing. Gold is easier to work than steel.</t>
        </is>
      </c>
      <c r="I98" t="n">
        <v>253</v>
      </c>
    </row>
    <row r="99">
      <c r="A99" t="inlineStr">
        <is>
          <t>Glittering Robe</t>
        </is>
      </c>
      <c r="B99" t="inlineStr">
        <is>
          <t>Lore</t>
        </is>
      </c>
      <c r="C99" t="inlineStr">
        <is>
          <t>Metal</t>
        </is>
      </c>
      <c r="D99" t="inlineStr">
        <is>
          <t>6</t>
        </is>
      </c>
      <c r="E99" t="inlineStr">
        <is>
          <t>You</t>
        </is>
      </c>
      <c r="F99" t="inlineStr">
        <is>
          <t>You</t>
        </is>
      </c>
      <c r="G99" t="inlineStr">
        <is>
          <t>Willpower Bonus Rounds</t>
        </is>
      </c>
      <c r="H99" t="inlineStr">
        <is>
          <t>You conjure a shimmering, luminous cloak of scales that dazzles the enemy. The robe emits as much light as a candelabra, you gain +2 AP to all Locations, and any enemies Engaged with you must pass a Challenging (+0 SL) Endurance Test of suffer 1 Blinded Condition.</t>
        </is>
      </c>
      <c r="I99" t="n">
        <v>253</v>
      </c>
    </row>
    <row r="100">
      <c r="A100" t="inlineStr">
        <is>
          <t>Mutable Metal</t>
        </is>
      </c>
      <c r="B100" t="inlineStr">
        <is>
          <t>Lore</t>
        </is>
      </c>
      <c r="C100" t="inlineStr">
        <is>
          <t>Metal</t>
        </is>
      </c>
      <c r="D100" t="inlineStr">
        <is>
          <t>5</t>
        </is>
      </c>
      <c r="E100" t="inlineStr">
        <is>
          <t>Touch</t>
        </is>
      </c>
      <c r="F100" t="inlineStr">
        <is>
          <t>1</t>
        </is>
      </c>
      <c r="G100" t="inlineStr">
        <is>
          <t>Willpower Bonus Rounds</t>
        </is>
      </c>
      <c r="H100" t="inlineStr">
        <is>
          <t>You may bend and mangle the object with your bare hands. If you wish to make a more complex alteration and the GM agrees, you may attempt a pertinent Average (+2 SL) Art or Trade Test instead, depending on what you are trying to achieve.</t>
        </is>
      </c>
      <c r="I100" t="n">
        <v>253</v>
      </c>
    </row>
    <row r="101">
      <c r="A101" t="inlineStr">
        <is>
          <t>Choking Shadows</t>
        </is>
      </c>
      <c r="B101" t="inlineStr">
        <is>
          <t>Lore</t>
        </is>
      </c>
      <c r="C101" t="inlineStr">
        <is>
          <t>Shadows</t>
        </is>
      </c>
      <c r="D101" t="inlineStr">
        <is>
          <t>6</t>
        </is>
      </c>
      <c r="E101" t="inlineStr">
        <is>
          <t>Willpower Bonus yards</t>
        </is>
      </c>
      <c r="F101" t="inlineStr">
        <is>
          <t>1</t>
        </is>
      </c>
      <c r="G101" t="inlineStr">
        <is>
          <t>Willpower Bonus Rounds</t>
        </is>
      </c>
      <c r="H101" t="inlineStr">
        <is>
          <t>You wrap shadowy tendrils of Ulgu around your foes' necks. They suffer 1 Fatigued Condition, cannot talk, and suffocate (see page 169).</t>
        </is>
      </c>
      <c r="I101" t="n">
        <v>254</v>
      </c>
    </row>
    <row r="102">
      <c r="A102" t="inlineStr">
        <is>
          <t>Doppelganger</t>
        </is>
      </c>
      <c r="B102" t="inlineStr">
        <is>
          <t>Lore</t>
        </is>
      </c>
      <c r="C102" t="inlineStr">
        <is>
          <t>Shadows</t>
        </is>
      </c>
      <c r="D102" t="inlineStr">
        <is>
          <t>10</t>
        </is>
      </c>
      <c r="E102" t="inlineStr">
        <is>
          <t>You</t>
        </is>
      </c>
      <c r="F102" t="inlineStr">
        <is>
          <t>You</t>
        </is>
      </c>
      <c r="G102" t="inlineStr">
        <is>
          <t>Intelligence Bonus minutes</t>
        </is>
      </c>
      <c r="H102" t="inlineStr">
        <is>
          <t>Your appearance fools anyone without the Second Sight Talent, though some may note if your mannerisms are incorrect. Those with Second Sight must win an Opposed Difficult (-1 SL) Intuition Test against the Casting Test to notice the disguise.</t>
        </is>
      </c>
      <c r="I102" t="n">
        <v>254</v>
      </c>
    </row>
    <row r="103">
      <c r="A103" t="inlineStr">
        <is>
          <t>Illusion</t>
        </is>
      </c>
      <c r="B103" t="inlineStr">
        <is>
          <t>Lore</t>
        </is>
      </c>
      <c r="C103" t="inlineStr">
        <is>
          <t>Shadows</t>
        </is>
      </c>
      <c r="D103" t="inlineStr">
        <is>
          <t>8</t>
        </is>
      </c>
      <c r="E103" t="inlineStr">
        <is>
          <t>Willpower yards</t>
        </is>
      </c>
      <c r="F103" t="inlineStr">
        <is>
          <t>AoE (Intelligence Bonus yards)</t>
        </is>
      </c>
      <c r="G103" t="inlineStr">
        <is>
          <t>Intelligence minutes</t>
        </is>
      </c>
      <c r="H103" t="inlineStr">
        <is>
          <t>You automatically fool anyone without the Second Sight Talent. Those with that Talent must win an Opposed Difficult (-1 SL) Intuition Test against the Casting Test to notice the illusion. This does not let them see through the Spell or end its effects — they merely understand it is an illusion. The illusion is typically unmoving.</t>
        </is>
      </c>
      <c r="I103" t="n">
        <v>254</v>
      </c>
    </row>
    <row r="104">
      <c r="A104" t="inlineStr">
        <is>
          <t>Mindslip</t>
        </is>
      </c>
      <c r="B104" t="inlineStr">
        <is>
          <t>Lore</t>
        </is>
      </c>
      <c r="C104" t="inlineStr">
        <is>
          <t>Shadows</t>
        </is>
      </c>
      <c r="D104" t="inlineStr">
        <is>
          <t>6</t>
        </is>
      </c>
      <c r="E104" t="inlineStr">
        <is>
          <t>1 yard</t>
        </is>
      </c>
      <c r="F104" t="inlineStr">
        <is>
          <t>1</t>
        </is>
      </c>
      <c r="G104" t="inlineStr">
        <is>
          <t>Intelligence minutes</t>
        </is>
      </c>
      <c r="H104" t="inlineStr">
        <is>
          <t>You conjure delicate threads of Ulgu in your target's mind, causing all prior memory of you to disappear for the Spell's duration. Once the Spell is over, if you wish, the target must win an Opposed Average (+2 SL) Intelligence Test against the Casting Test or the memory loss becomes permanent until dispelled.</t>
        </is>
      </c>
      <c r="I104" t="n">
        <v>254</v>
      </c>
    </row>
    <row r="105">
      <c r="A105" t="inlineStr">
        <is>
          <t>Mystifying Miasma</t>
        </is>
      </c>
      <c r="B105" t="inlineStr">
        <is>
          <t>Lore</t>
        </is>
      </c>
      <c r="C105" t="inlineStr">
        <is>
          <t>Shadows</t>
        </is>
      </c>
      <c r="D105" t="inlineStr">
        <is>
          <t>6</t>
        </is>
      </c>
      <c r="E105" t="inlineStr">
        <is>
          <t>Willpower yards</t>
        </is>
      </c>
      <c r="F105" t="inlineStr">
        <is>
          <t>AoE (Willpower Bonus yards)</t>
        </is>
      </c>
      <c r="G105" t="inlineStr">
        <is>
          <t>Willpower Bonus Rounds</t>
        </is>
      </c>
      <c r="H105" t="inlineStr">
        <is>
          <t>Anyone within the mist without the Arcane Magic (Shadows) Talent is affected by the miasma, gaining 1 Blinded, Deafened, and Fatigued Condition, which remain for the Spell's duration. Affected creatures that attempt to use their Move must pass a Challenging (+0 SL) Perception Test or gain the Prone Condition.</t>
        </is>
      </c>
      <c r="I105" t="n">
        <v>254</v>
      </c>
    </row>
    <row r="106">
      <c r="A106" t="inlineStr">
        <is>
          <t>Shadowsteed</t>
        </is>
      </c>
      <c r="B106" t="inlineStr">
        <is>
          <t>Lore</t>
        </is>
      </c>
      <c r="C106" t="inlineStr">
        <is>
          <t>Shadows</t>
        </is>
      </c>
      <c r="D106" t="inlineStr">
        <is>
          <t>6</t>
        </is>
      </c>
      <c r="E106" t="inlineStr">
        <is>
          <t>Willpower Bonus yards</t>
        </is>
      </c>
      <c r="F106" t="inlineStr">
        <is>
          <t>1</t>
        </is>
      </c>
      <c r="G106" t="inlineStr">
        <is>
          <t>Until the next dawn</t>
        </is>
      </c>
      <c r="H106" t="inlineStr">
        <is>
          <t>The creature's unnatural flesh is black as midnight, and at times it appears to be both solid and insubstantial. Use the rules for a riding horse (see page 327). When the shadowsteed is out of sunlight, it gains the following Creature Traits (see page 356): Dark Vision, Ethereal, Fear 1, Magical, Painless, and Ward 9+.</t>
        </is>
      </c>
      <c r="I106" t="n">
        <v>255</v>
      </c>
    </row>
    <row r="107">
      <c r="A107" t="inlineStr">
        <is>
          <t>Shadowstep</t>
        </is>
      </c>
      <c r="B107" t="inlineStr">
        <is>
          <t>Lore</t>
        </is>
      </c>
      <c r="C107" t="inlineStr">
        <is>
          <t>Shadows</t>
        </is>
      </c>
      <c r="D107" t="inlineStr">
        <is>
          <t>8</t>
        </is>
      </c>
      <c r="E107" t="inlineStr">
        <is>
          <t>Willpower yards</t>
        </is>
      </c>
      <c r="F107" t="inlineStr">
        <is>
          <t>You</t>
        </is>
      </c>
      <c r="G107" t="inlineStr">
        <is>
          <t>Instant</t>
        </is>
      </c>
      <c r="H107" t="inlineStr">
        <is>
          <t>You create a shadowy portal of Ulgu through the Aethyr. You disappear from your current location and immediately appear up to Willpower yards away. Any enemies Engaging you when you disappear gain the Surprised Condition.</t>
        </is>
      </c>
      <c r="I107" t="n">
        <v>255</v>
      </c>
    </row>
    <row r="108">
      <c r="A108" t="inlineStr">
        <is>
          <t>Shroud of Invisibility</t>
        </is>
      </c>
      <c r="B108" t="inlineStr">
        <is>
          <t>Lore</t>
        </is>
      </c>
      <c r="C108" t="inlineStr">
        <is>
          <t>Shadows</t>
        </is>
      </c>
      <c r="D108" t="inlineStr">
        <is>
          <t>8</t>
        </is>
      </c>
      <c r="E108" t="inlineStr">
        <is>
          <t>Touch</t>
        </is>
      </c>
      <c r="F108" t="inlineStr">
        <is>
          <t>1</t>
        </is>
      </c>
      <c r="G108" t="inlineStr">
        <is>
          <t>Willpower Bonus Rounds</t>
        </is>
      </c>
      <c r="H108" t="inlineStr">
        <is>
          <t>The target becomes invisible and cannot be perceived by mundane senses. The Spell automatically fools anyone without Second Sight. Those with the Sight must win an Opposed Perception Test against the Casting Test to notice that someone is nearby, though they will not be able to pin down the precise location. Targets are still perceptible to the other senses.</t>
        </is>
      </c>
      <c r="I108" t="n">
        <v>255</v>
      </c>
    </row>
    <row r="109">
      <c r="A109" t="inlineStr">
        <is>
          <t>Goodwill</t>
        </is>
      </c>
      <c r="B109" t="inlineStr">
        <is>
          <t>Lore</t>
        </is>
      </c>
      <c r="C109" t="inlineStr">
        <is>
          <t>Hedgecraft</t>
        </is>
      </c>
      <c r="D109" t="inlineStr">
        <is>
          <t>0</t>
        </is>
      </c>
      <c r="E109" t="inlineStr">
        <is>
          <t>You</t>
        </is>
      </c>
      <c r="F109" t="inlineStr">
        <is>
          <t>AoE (Fellowship Bonus yards)</t>
        </is>
      </c>
      <c r="G109" t="inlineStr">
        <is>
          <t>Willpower Bonus minutes</t>
        </is>
      </c>
      <c r="H109" t="inlineStr">
        <is>
          <t>You create an atmosphere conducive to friendliness and good spirits. All Fellowship Tests within the Area of Effect receive +1 SL, and Animosity and Hatred Psychologies have no effect.</t>
        </is>
      </c>
      <c r="I109" t="n">
        <v>255</v>
      </c>
    </row>
    <row r="110">
      <c r="A110" t="inlineStr">
        <is>
          <t>Halétha's Joy</t>
        </is>
      </c>
      <c r="B110" t="inlineStr">
        <is>
          <t>Lore</t>
        </is>
      </c>
      <c r="C110" t="inlineStr">
        <is>
          <t>Hedgecraft</t>
        </is>
      </c>
      <c r="D110" t="inlineStr">
        <is>
          <t>0</t>
        </is>
      </c>
      <c r="E110" t="inlineStr">
        <is>
          <t>Touch</t>
        </is>
      </c>
      <c r="F110" t="inlineStr">
        <is>
          <t>1</t>
        </is>
      </c>
      <c r="G110" t="inlineStr">
        <is>
          <t>Fellowship Bonus hours</t>
        </is>
      </c>
      <c r="H110" t="inlineStr">
        <is>
          <t>You plead with a god of fertility to bless the target. While the Spell is active, if biologically possible, they will conceive a child. The Spell ends when used.</t>
        </is>
      </c>
      <c r="I110" t="n">
        <v>255</v>
      </c>
    </row>
    <row r="111">
      <c r="A111" t="inlineStr">
        <is>
          <t>Mirkride</t>
        </is>
      </c>
      <c r="B111" t="inlineStr">
        <is>
          <t>Lore</t>
        </is>
      </c>
      <c r="C111" t="inlineStr">
        <is>
          <t>Hedgecraft</t>
        </is>
      </c>
      <c r="D111" t="inlineStr">
        <is>
          <t>0</t>
        </is>
      </c>
      <c r="E111" t="inlineStr">
        <is>
          <t>You</t>
        </is>
      </c>
      <c r="F111" t="inlineStr">
        <is>
          <t>You</t>
        </is>
      </c>
      <c r="G111" t="inlineStr">
        <is>
          <t>Willpower Bonus minutes</t>
        </is>
      </c>
      <c r="H111" t="inlineStr">
        <is>
          <t>For the duration, you stand apart from the world, able to witness it invisibly and completely silently, but not affect it in any way. Your spirit self has the Ethereal Trait (see page 358). Your body remains in place, immobile and insensate. If you take any Magical damage, it instead immediately ends the Spell.</t>
        </is>
      </c>
      <c r="I111" t="n">
        <v>256</v>
      </c>
    </row>
    <row r="112">
      <c r="A112" t="inlineStr">
        <is>
          <t>Nepenthe</t>
        </is>
      </c>
      <c r="B112" t="inlineStr">
        <is>
          <t>Lore</t>
        </is>
      </c>
      <c r="C112" t="inlineStr">
        <is>
          <t>Hedgecraft</t>
        </is>
      </c>
      <c r="D112" t="inlineStr">
        <is>
          <t>0</t>
        </is>
      </c>
      <c r="E112" t="inlineStr">
        <is>
          <t>Touch</t>
        </is>
      </c>
      <c r="F112" t="inlineStr">
        <is>
          <t>Special</t>
        </is>
      </c>
      <c r="G112" t="inlineStr">
        <is>
          <t>Willpower Bonus hours</t>
        </is>
      </c>
      <c r="H112" t="inlineStr">
        <is>
          <t>As you chant your incantations over a cup, a thick mist issues from your mouth and coalesces as a thick, silver liquid. A character who drinks it within the duration may choose to completely forget one individual, permanently.</t>
        </is>
      </c>
      <c r="I112" t="n">
        <v>256</v>
      </c>
    </row>
    <row r="113">
      <c r="A113" t="inlineStr">
        <is>
          <t>Nostrum</t>
        </is>
      </c>
      <c r="B113" t="inlineStr">
        <is>
          <t>Lore</t>
        </is>
      </c>
      <c r="C113" t="inlineStr">
        <is>
          <t>Hedgecraft</t>
        </is>
      </c>
      <c r="D113" t="inlineStr">
        <is>
          <t>0</t>
        </is>
      </c>
      <c r="E113" t="inlineStr">
        <is>
          <t>Touch</t>
        </is>
      </c>
      <c r="F113" t="inlineStr">
        <is>
          <t>Special</t>
        </is>
      </c>
      <c r="G113" t="inlineStr">
        <is>
          <t>Dexterity Bonus hours</t>
        </is>
      </c>
      <c r="H113" t="inlineStr">
        <is>
          <t>You incant a spell over a prepared draught, imbuing it with magical power. If drunk while the Spell is active, the drinker immediately heals Dexterity Bonus Wounds and is cured of one disease of the GM's choice. For every +2 SL, you may cure an extra disease.</t>
        </is>
      </c>
      <c r="I113" t="n">
        <v>256</v>
      </c>
    </row>
    <row r="114">
      <c r="A114" t="inlineStr">
        <is>
          <t>Part the Branches</t>
        </is>
      </c>
      <c r="B114" t="inlineStr">
        <is>
          <t>Lore</t>
        </is>
      </c>
      <c r="C114" t="inlineStr">
        <is>
          <t>Hedgecraft</t>
        </is>
      </c>
      <c r="D114" t="inlineStr">
        <is>
          <t>0</t>
        </is>
      </c>
      <c r="E114" t="inlineStr">
        <is>
          <t>You</t>
        </is>
      </c>
      <c r="F114" t="inlineStr">
        <is>
          <t>You</t>
        </is>
      </c>
      <c r="G114" t="inlineStr">
        <is>
          <t>Initiative minutes</t>
        </is>
      </c>
      <c r="H114" t="inlineStr">
        <is>
          <t>Your pupils dilate as you complete your incantation, allowing you to see into the spirit world. This allows you to see all invisible creatures.</t>
        </is>
      </c>
      <c r="I114" t="n">
        <v>256</v>
      </c>
    </row>
    <row r="115">
      <c r="A115" t="inlineStr">
        <is>
          <t>Protective Charm</t>
        </is>
      </c>
      <c r="B115" t="inlineStr">
        <is>
          <t>Lore</t>
        </is>
      </c>
      <c r="C115" t="inlineStr">
        <is>
          <t>Hedgecraft</t>
        </is>
      </c>
      <c r="D115" t="inlineStr">
        <is>
          <t>0</t>
        </is>
      </c>
      <c r="E115" t="inlineStr">
        <is>
          <t>Touch</t>
        </is>
      </c>
      <c r="F115" t="inlineStr">
        <is>
          <t>Special</t>
        </is>
      </c>
      <c r="G115" t="inlineStr">
        <is>
          <t>Willpower Bonus days</t>
        </is>
      </c>
      <c r="H115" t="inlineStr">
        <is>
          <t>You imbue a charm, such as a small piece of jewellery or pocket-sized trinket, with a spell of protection. Those bearing the charm gain +2 SL to resist magical effects and Corruption.</t>
        </is>
      </c>
      <c r="I115" t="n">
        <v>256</v>
      </c>
    </row>
    <row r="116">
      <c r="A116" t="inlineStr">
        <is>
          <t>Shepherd's Eye</t>
        </is>
      </c>
      <c r="B116" t="inlineStr">
        <is>
          <t>Lore</t>
        </is>
      </c>
      <c r="C116" t="inlineStr">
        <is>
          <t>Hedgecraft</t>
        </is>
      </c>
      <c r="D116" t="inlineStr">
        <is>
          <t>0</t>
        </is>
      </c>
      <c r="E116" t="inlineStr">
        <is>
          <t>Special</t>
        </is>
      </c>
      <c r="F116" t="inlineStr">
        <is>
          <t>Special</t>
        </is>
      </c>
      <c r="G116" t="inlineStr">
        <is>
          <t>Instant</t>
        </is>
      </c>
      <c r="H116" t="inlineStr">
        <is>
          <t>You grab a bit of organic matter belonging to a single creature — wool, blood, a piece of their leavings — and add it to a bowl of water. After scrying into the bowl for 10 - IB minutes, secret symbols appear to your sight: the GM will describe the creature's location. If you are familiar with the location, you know where they are.</t>
        </is>
      </c>
      <c r="I116" t="n">
        <v>256</v>
      </c>
    </row>
    <row r="117">
      <c r="A117" t="inlineStr">
        <is>
          <t>Blight</t>
        </is>
      </c>
      <c r="B117" t="inlineStr">
        <is>
          <t>Lore</t>
        </is>
      </c>
      <c r="C117" t="inlineStr">
        <is>
          <t>Witchcraft</t>
        </is>
      </c>
      <c r="D117" t="inlineStr">
        <is>
          <t>14</t>
        </is>
      </c>
      <c r="E117" t="inlineStr">
        <is>
          <t>Willpower Bonus yards</t>
        </is>
      </c>
      <c r="F117" t="inlineStr">
        <is>
          <t>Special</t>
        </is>
      </c>
      <c r="G117" t="inlineStr">
        <is>
          <t>Instant</t>
        </is>
      </c>
      <c r="H117" t="inlineStr">
        <is>
          <t>For example you may target either a tavern, well, field, or a domestic animal. If you successfully cast the Spell, the target suffers from a blight: All food and drink in a blighted tavern immediately spoils. A blighted well becomes instantly brackish and stagnant. Any crops currently planted in a blighted field rot overnight. A blighted animal sickens.</t>
        </is>
      </c>
      <c r="I117" t="n">
        <v>256</v>
      </c>
    </row>
    <row r="118">
      <c r="A118" t="inlineStr">
        <is>
          <t>Creeping Menace</t>
        </is>
      </c>
      <c r="B118" t="inlineStr">
        <is>
          <t>Lore</t>
        </is>
      </c>
      <c r="C118" t="inlineStr">
        <is>
          <t>Witchcraft</t>
        </is>
      </c>
      <c r="D118" t="inlineStr">
        <is>
          <t>6</t>
        </is>
      </c>
      <c r="E118" t="inlineStr">
        <is>
          <t>Willpower yards</t>
        </is>
      </c>
      <c r="F118" t="inlineStr">
        <is>
          <t>1</t>
        </is>
      </c>
      <c r="G118" t="inlineStr">
        <is>
          <t>Willpower Bonus Rounds</t>
        </is>
      </c>
      <c r="H118" t="inlineStr">
        <is>
          <t>Each target affected is immediately Engaged by a swarm of Giant Rats, Giant Spiders, or Snakes (your choice of one creature type). Use the standard profiles for the relevant creature type, adding the Swarm Trait. For your Action, you may make a Challenging (+0 SL) Charm Animal Test to direct one or more swarms to attack a different target.</t>
        </is>
      </c>
      <c r="I118" t="n">
        <v>257</v>
      </c>
    </row>
    <row r="119">
      <c r="A119" t="inlineStr">
        <is>
          <t>Curse of Crippling Pain</t>
        </is>
      </c>
      <c r="B119" t="inlineStr">
        <is>
          <t>Lore</t>
        </is>
      </c>
      <c r="C119" t="inlineStr">
        <is>
          <t>Witchcraft</t>
        </is>
      </c>
      <c r="D119" t="inlineStr">
        <is>
          <t>10</t>
        </is>
      </c>
      <c r="E119" t="inlineStr">
        <is>
          <t>Willpower yards</t>
        </is>
      </c>
      <c r="F119" t="inlineStr">
        <is>
          <t>1</t>
        </is>
      </c>
      <c r="G119" t="inlineStr">
        <is>
          <t>Willpower Bonus Rounds</t>
        </is>
      </c>
      <c r="H119" t="inlineStr">
        <is>
          <t>When successfully cast, choose which Hit Location to stab: Body — Target doubles up in agony, gaining +1 Fatigued, and must pass a Hard (-2 SL) Endurance Test or fall Prone. Head — Target gains a Stunned Condition, and must pass an Average (+2 SL) Endurance Test or gain -SL additional Stunned. Limb — Limb becomes useless, as if amputated (see page 177).</t>
        </is>
      </c>
      <c r="I119" t="n">
        <v>257</v>
      </c>
    </row>
    <row r="120">
      <c r="A120" t="inlineStr">
        <is>
          <t>Curse of Ill Fortune</t>
        </is>
      </c>
      <c r="B120" t="inlineStr">
        <is>
          <t>Lore</t>
        </is>
      </c>
      <c r="C120" t="inlineStr">
        <is>
          <t>Witchcraft</t>
        </is>
      </c>
      <c r="D120" t="inlineStr">
        <is>
          <t>8</t>
        </is>
      </c>
      <c r="E120" t="inlineStr">
        <is>
          <t>Willpower yards or Willpower</t>
        </is>
      </c>
      <c r="F120" t="inlineStr">
        <is>
          <t>1</t>
        </is>
      </c>
      <c r="H120" t="inlineStr">
        <is>
          <t>Laces snap, chairs break, and other minor narrative effects inconvenience them. They suffer -1 SL to all Tests and cannot spend Fortune. If they have no Fortune, they reroll all Test rolls of 01–05. This Spell's ingredient, something belonging to the target (such as a personal possession or strand of hair), lets you ignore line of sight.</t>
        </is>
      </c>
      <c r="I120" t="n">
        <v>257</v>
      </c>
    </row>
    <row r="121">
      <c r="A121" t="inlineStr">
        <is>
          <t>Glamour</t>
        </is>
      </c>
      <c r="B121" t="inlineStr">
        <is>
          <t>Lore</t>
        </is>
      </c>
      <c r="C121" t="inlineStr">
        <is>
          <t>Witchcraft</t>
        </is>
      </c>
      <c r="D121" t="inlineStr">
        <is>
          <t>4</t>
        </is>
      </c>
      <c r="E121" t="inlineStr">
        <is>
          <t>Touch</t>
        </is>
      </c>
      <c r="F121" t="inlineStr">
        <is>
          <t>1 adult</t>
        </is>
      </c>
      <c r="G121" t="inlineStr">
        <is>
          <t>Willpower Bonus hours</t>
        </is>
      </c>
      <c r="H121" t="inlineStr">
        <is>
          <t>You alter the target's appearance to look however old you wish, within the normal range of adulthood.</t>
        </is>
      </c>
      <c r="I121" t="n">
        <v>257</v>
      </c>
    </row>
    <row r="122">
      <c r="A122" t="inlineStr">
        <is>
          <t>Haunting Horror</t>
        </is>
      </c>
      <c r="B122" t="inlineStr">
        <is>
          <t>Lore</t>
        </is>
      </c>
      <c r="C122" t="inlineStr">
        <is>
          <t>Witchcraft</t>
        </is>
      </c>
      <c r="D122" t="inlineStr">
        <is>
          <t>8</t>
        </is>
      </c>
      <c r="E122" t="inlineStr">
        <is>
          <t>Touch</t>
        </is>
      </c>
      <c r="F122" t="inlineStr">
        <is>
          <t>Special</t>
        </is>
      </c>
      <c r="G122" t="inlineStr">
        <is>
          <t>Willpower days</t>
        </is>
      </c>
      <c r="H122" t="inlineStr">
        <is>
          <t>Those entering while the Spell is active are unnerved by eerie sensations, flitting shadows, and whispered voices lurking on the threshold of hearing. Unless they are witches or their familiars, they gain +1 Fatigued Condition.</t>
        </is>
      </c>
      <c r="I122" t="n">
        <v>257</v>
      </c>
    </row>
    <row r="123">
      <c r="A123" t="inlineStr">
        <is>
          <t>Make Hale</t>
        </is>
      </c>
      <c r="B123" t="inlineStr">
        <is>
          <t>Lore</t>
        </is>
      </c>
      <c r="C123" t="inlineStr">
        <is>
          <t>Witchcraft</t>
        </is>
      </c>
      <c r="D123" t="inlineStr">
        <is>
          <t>4</t>
        </is>
      </c>
      <c r="E123" t="inlineStr">
        <is>
          <t>Touch</t>
        </is>
      </c>
      <c r="F123" t="inlineStr">
        <is>
          <t>1</t>
        </is>
      </c>
      <c r="G123" t="inlineStr">
        <is>
          <t>Instant</t>
        </is>
      </c>
      <c r="H123" t="inlineStr">
        <is>
          <t>Your hands glow with a soothing, pale yellow light and the target relaxes. They heal WPB Wounds and lose 1 Fatigued and 1 Stunned. With +3 SL, you may change Range to Willpower Bonus yards, causing streams of light to leap from your fingers and twist through the air.</t>
        </is>
      </c>
      <c r="I123" t="n">
        <v>257</v>
      </c>
    </row>
    <row r="124">
      <c r="A124" t="inlineStr">
        <is>
          <t>The Evil Eye</t>
        </is>
      </c>
      <c r="B124" t="inlineStr">
        <is>
          <t>Lore</t>
        </is>
      </c>
      <c r="C124" t="inlineStr">
        <is>
          <t>Witchcraft</t>
        </is>
      </c>
      <c r="D124" t="inlineStr">
        <is>
          <t>6</t>
        </is>
      </c>
      <c r="E124" t="inlineStr">
        <is>
          <t>10 yards (maximum)</t>
        </is>
      </c>
      <c r="F124" t="inlineStr">
        <is>
          <t>1 (maximum)</t>
        </is>
      </c>
      <c r="G124" t="inlineStr">
        <is>
          <t>Instant</t>
        </is>
      </c>
      <c r="H124" t="inlineStr">
        <is>
          <t>You lock eyes with the target and wither their psyche. Perform an Opposed Intimidate/Cool Test, adding any SL from the Casting Test to your result. If you win, the target suffers Fear 1 from you and gains 1 Fatigued Condition, plus 1 Fatigued per +3 SL by which you win. If you win by 6+ SL, they gain 1 Broken Condition.</t>
        </is>
      </c>
      <c r="I124" t="n">
        <v>257</v>
      </c>
    </row>
    <row r="125">
      <c r="A125" t="inlineStr">
        <is>
          <t>Destroy Lesser Daemon</t>
        </is>
      </c>
      <c r="B125" t="inlineStr">
        <is>
          <t>Lore</t>
        </is>
      </c>
      <c r="C125" t="inlineStr">
        <is>
          <t>Daemonology</t>
        </is>
      </c>
      <c r="D125" t="inlineStr">
        <is>
          <t>6</t>
        </is>
      </c>
      <c r="E125" t="inlineStr">
        <is>
          <t>Willpower Bonus yards</t>
        </is>
      </c>
      <c r="F125" t="inlineStr">
        <is>
          <t>1 Size (Average) or smaller Daemon</t>
        </is>
      </c>
      <c r="G125" t="inlineStr">
        <is>
          <t>Willpower Bonus Rounds</t>
        </is>
      </c>
      <c r="H125" t="inlineStr">
        <is>
          <t>Your Spell disrupts the Dhar holding a daemon together and draws it back to you. The target makes an Opposed Easy (+4 SL) Endurance Test against the Casting Test. If you win, you immediately destroy the target and you may increase one of your Characteristics by +10 for the duration as you syphon profane energies from your victim.</t>
        </is>
      </c>
      <c r="I125" t="n">
        <v>258</v>
      </c>
    </row>
    <row r="126">
      <c r="A126" t="inlineStr">
        <is>
          <t>Detect Daemon</t>
        </is>
      </c>
      <c r="B126" t="inlineStr">
        <is>
          <t>Lore</t>
        </is>
      </c>
      <c r="C126" t="inlineStr">
        <is>
          <t>Daemonology</t>
        </is>
      </c>
      <c r="D126" t="inlineStr">
        <is>
          <t>4</t>
        </is>
      </c>
      <c r="E126" t="inlineStr">
        <is>
          <t>Willpower yards</t>
        </is>
      </c>
      <c r="F126" t="inlineStr">
        <is>
          <t>Special</t>
        </is>
      </c>
      <c r="G126" t="inlineStr">
        <is>
          <t>Instant</t>
        </is>
      </c>
      <c r="H126" t="inlineStr">
        <is>
          <t>Your Spell homes in on the daemonic influences in the surrounding area. You automatically know if there is a manifested daemon within range, be it summoned, bound into an artefact, possessing another, or similar.</t>
        </is>
      </c>
      <c r="I126" t="n">
        <v>258</v>
      </c>
    </row>
    <row r="127">
      <c r="A127" t="inlineStr">
        <is>
          <t>Manifest Lesser Daemon</t>
        </is>
      </c>
      <c r="B127" t="inlineStr">
        <is>
          <t>Lore</t>
        </is>
      </c>
      <c r="C127" t="inlineStr">
        <is>
          <t>Daemonology</t>
        </is>
      </c>
      <c r="D127" t="inlineStr">
        <is>
          <t>8</t>
        </is>
      </c>
      <c r="E127" t="inlineStr">
        <is>
          <t>Willpower Bonus yards</t>
        </is>
      </c>
      <c r="F127" t="inlineStr">
        <is>
          <t>Special</t>
        </is>
      </c>
      <c r="G127" t="inlineStr">
        <is>
          <t>Willpower Bonus Rounds</t>
        </is>
      </c>
      <c r="H127" t="inlineStr">
        <is>
          <t>A Lesser Daemon immediately manifests through the rent (see page 349 for two examples: a Bloodletter or a Daemonette). Perform an Opposed Channelling (Dhar)/ Cool Test with the daemon. If successful, the daemon will respond to one command issued by you, quite literally, then vanish (assuming the command is completed before the Duration ends).</t>
        </is>
      </c>
      <c r="I127" t="n">
        <v>258</v>
      </c>
    </row>
    <row r="128">
      <c r="A128" t="inlineStr">
        <is>
          <t>Octagram</t>
        </is>
      </c>
      <c r="B128" t="inlineStr">
        <is>
          <t>Lore</t>
        </is>
      </c>
      <c r="C128" t="inlineStr">
        <is>
          <t>Daemonology</t>
        </is>
      </c>
      <c r="D128" t="inlineStr">
        <is>
          <t>10</t>
        </is>
      </c>
      <c r="E128" t="inlineStr">
        <is>
          <t>Touch</t>
        </is>
      </c>
      <c r="F128" t="inlineStr">
        <is>
          <t>AoE (Intelligence Bonus yards across, maximum)</t>
        </is>
      </c>
      <c r="G128" t="inlineStr">
        <is>
          <t>Willpower minutes</t>
        </is>
      </c>
      <c r="H128" t="inlineStr">
        <is>
          <t>Daubing an octagram to the floor, and marking it with unholy symbols, you ward against all daemonic influence. Those with the Daemonic Trait cannot enter or leave the octagram.</t>
        </is>
      </c>
      <c r="I128" t="n">
        <v>258</v>
      </c>
    </row>
    <row r="129">
      <c r="A129" t="inlineStr">
        <is>
          <t>Raise Dead</t>
        </is>
      </c>
      <c r="B129" t="inlineStr">
        <is>
          <t>Lore</t>
        </is>
      </c>
      <c r="C129" t="inlineStr">
        <is>
          <t>Necromancy</t>
        </is>
      </c>
      <c r="D129" t="inlineStr">
        <is>
          <t>7</t>
        </is>
      </c>
      <c r="E129" t="inlineStr">
        <is>
          <t>Willpower yards</t>
        </is>
      </c>
      <c r="F129" t="inlineStr">
        <is>
          <t>AoE (Willpower Bonus yards)</t>
        </is>
      </c>
      <c r="G129" t="inlineStr">
        <is>
          <t>Until sunrise</t>
        </is>
      </c>
      <c r="H129" t="inlineStr">
        <is>
          <t>They start with the Prone Condition. The summoned undead are entirely under your control and can perform simple orders as you command. If you are killed or gain the Unconscious Condition, the Spell comes to an end and the summoned undead collapse. For each +2 SL, you may summon an extra Skeleton.</t>
        </is>
      </c>
      <c r="I129" t="n">
        <v>258</v>
      </c>
    </row>
    <row r="130">
      <c r="A130" t="inlineStr">
        <is>
          <t>Reanimate</t>
        </is>
      </c>
      <c r="B130" t="inlineStr">
        <is>
          <t>Lore</t>
        </is>
      </c>
      <c r="C130" t="inlineStr">
        <is>
          <t>Necromancy</t>
        </is>
      </c>
      <c r="D130" t="inlineStr">
        <is>
          <t>8</t>
        </is>
      </c>
      <c r="E130" t="inlineStr">
        <is>
          <t>Willpower yards</t>
        </is>
      </c>
      <c r="F130" t="inlineStr">
        <is>
          <t>AoE (Willpower Bonus yards)</t>
        </is>
      </c>
      <c r="G130" t="inlineStr">
        <is>
          <t>Until sunrise</t>
        </is>
      </c>
      <c r="H130" t="inlineStr">
        <is>
          <t>Reanimate WPB + SL dead bodies (as Zombies, see page 340) or skeletons (as Skeletons, see page 339) within range. They start with the Prone Condition. The summoned undead are entirely under your control and can perform simple orders as you command.</t>
        </is>
      </c>
      <c r="I130" t="n">
        <v>258</v>
      </c>
    </row>
    <row r="131">
      <c r="A131" t="inlineStr">
        <is>
          <t>Screaming Skull</t>
        </is>
      </c>
      <c r="B131" t="inlineStr">
        <is>
          <t>Lore</t>
        </is>
      </c>
      <c r="C131" t="inlineStr">
        <is>
          <t>Necromancy</t>
        </is>
      </c>
      <c r="D131" t="inlineStr">
        <is>
          <t>8</t>
        </is>
      </c>
      <c r="E131" t="inlineStr">
        <is>
          <t>Willpower yards</t>
        </is>
      </c>
      <c r="F131" t="inlineStr">
        <is>
          <t>Special</t>
        </is>
      </c>
      <c r="G131" t="inlineStr">
        <is>
          <t>Instant</t>
        </is>
      </c>
      <c r="H131" t="inlineStr">
        <is>
          <t>The skull moves in a straight line for the Spell range, following the contours of the land, passing through any obstacles in its way. Screaming Skull is a magic missile with Damage +WPB that only affects targets without the Undead Creature Trait. Any suffering Wounds from the Spell must pass a Challenging (+0 SL) Psychology Test or take a Broken Condition.</t>
        </is>
      </c>
      <c r="I131" t="n">
        <v>259</v>
      </c>
    </row>
    <row r="132">
      <c r="A132" t="inlineStr">
        <is>
          <t>Vanhel's Call</t>
        </is>
      </c>
      <c r="B132" t="inlineStr">
        <is>
          <t>Lore</t>
        </is>
      </c>
      <c r="C132" t="inlineStr">
        <is>
          <t>Necromancy</t>
        </is>
      </c>
      <c r="D132" t="inlineStr">
        <is>
          <t>6</t>
        </is>
      </c>
      <c r="E132" t="inlineStr">
        <is>
          <t>Willpower yards</t>
        </is>
      </c>
      <c r="F132" t="inlineStr">
        <is>
          <t>Special</t>
        </is>
      </c>
      <c r="G132" t="inlineStr">
        <is>
          <t>Instant</t>
        </is>
      </c>
      <c r="H132" t="inlineStr">
        <is>
          <t>You manipulate complicated flows of Dhar into your targets, filling them with overwhelming energy. Intelligence Bonus targets with the Undead Trait gain a free Move or Action — choose one to affect all targets — taken the moment the Spell is cast. For each +2 SL, you may invigorate an extra Intelligence Bonus targets.</t>
        </is>
      </c>
      <c r="I132" t="n">
        <v>259</v>
      </c>
    </row>
    <row r="133">
      <c r="A133" t="inlineStr">
        <is>
          <t>Festering Inflammation</t>
        </is>
      </c>
      <c r="B133" t="inlineStr">
        <is>
          <t>Lore</t>
        </is>
      </c>
      <c r="C133" t="inlineStr">
        <is>
          <t>Nurgle</t>
        </is>
      </c>
      <c r="D133" t="inlineStr">
        <is>
          <t>5</t>
        </is>
      </c>
      <c r="E133" t="inlineStr">
        <is>
          <t>Willpower Bonus yards</t>
        </is>
      </c>
      <c r="F133" t="inlineStr">
        <is>
          <t>1</t>
        </is>
      </c>
      <c r="G133" t="inlineStr">
        <is>
          <t>Instant</t>
        </is>
      </c>
      <c r="H133" t="inlineStr">
        <is>
          <t>You conjure up septic fluids in the wounds of your opponent. One of the target's Wounds becomes a Festering Wound.</t>
        </is>
      </c>
      <c r="I133" t="n">
        <v>259</v>
      </c>
    </row>
    <row r="134">
      <c r="A134" t="inlineStr">
        <is>
          <t>Miasma of Pestilence</t>
        </is>
      </c>
      <c r="B134" t="inlineStr">
        <is>
          <t>Lore</t>
        </is>
      </c>
      <c r="C134" t="inlineStr">
        <is>
          <t>Nurgle</t>
        </is>
      </c>
      <c r="D134" t="inlineStr">
        <is>
          <t>6</t>
        </is>
      </c>
      <c r="E134" t="inlineStr">
        <is>
          <t>You</t>
        </is>
      </c>
      <c r="F134" t="inlineStr">
        <is>
          <t>AoE (Willpower Bonus yards)</t>
        </is>
      </c>
      <c r="G134" t="inlineStr">
        <is>
          <t>Willpower Bonus Rounds</t>
        </is>
      </c>
      <c r="H134" t="inlineStr">
        <is>
          <t>A thin mist gathers around you. All living creatures within the Area of Effect must pass a Hard (-2 SL) Endurance Test or suffer from the Nausea Symptom (see page 182). Those dedicated to Nurgle, and skaven plague monks, are not affected.</t>
        </is>
      </c>
      <c r="I134" t="n">
        <v>259</v>
      </c>
    </row>
    <row r="135">
      <c r="A135" t="inlineStr">
        <is>
          <t>Stream of Corruption</t>
        </is>
      </c>
      <c r="B135" t="inlineStr">
        <is>
          <t>Lore</t>
        </is>
      </c>
      <c r="C135" t="inlineStr">
        <is>
          <t>Nurgle</t>
        </is>
      </c>
      <c r="D135" t="inlineStr">
        <is>
          <t>9</t>
        </is>
      </c>
      <c r="E135" t="inlineStr">
        <is>
          <t>Special</t>
        </is>
      </c>
      <c r="F135" t="inlineStr">
        <is>
          <t>Special</t>
        </is>
      </c>
      <c r="G135" t="inlineStr">
        <is>
          <t>Instant</t>
        </is>
      </c>
      <c r="H135" t="inlineStr">
        <is>
          <t>Immediately make an Unopposed Acid-and Poison-type Breath attack (see page 357). It counts as a magic missile with a Damage equal to your Toughness Bonus, and it ignores Armour Points. Further, any targets that take more than their TB in Wounds must pass a Challenging (+0 SL) Endurance Test or contract Blood Rot (see page 179).</t>
        </is>
      </c>
      <c r="I135" t="n">
        <v>259</v>
      </c>
    </row>
    <row r="136">
      <c r="A136" t="inlineStr">
        <is>
          <t>Acquiescence</t>
        </is>
      </c>
      <c r="B136" t="inlineStr">
        <is>
          <t>Lore</t>
        </is>
      </c>
      <c r="C136" t="inlineStr">
        <is>
          <t>Slaanesh</t>
        </is>
      </c>
      <c r="D136" t="inlineStr">
        <is>
          <t>5</t>
        </is>
      </c>
      <c r="E136" t="inlineStr">
        <is>
          <t>Touch</t>
        </is>
      </c>
      <c r="F136" t="inlineStr">
        <is>
          <t>1</t>
        </is>
      </c>
      <c r="G136" t="inlineStr">
        <is>
          <t>Willpower Bonus Rounds</t>
        </is>
      </c>
      <c r="H136" t="inlineStr">
        <is>
          <t>Your magic pierces deep within your target, flooding their senses with strange, euphoric sensations. At the start of each Round, the target must make a Challenging (+0 SL) Endurance Test. If they fail, they lose their Move and Action as they are overwhelmed with blissful sensation.</t>
        </is>
      </c>
      <c r="I136" t="n">
        <v>260</v>
      </c>
    </row>
    <row r="137">
      <c r="A137" t="inlineStr">
        <is>
          <t>From Pain, Pleasure</t>
        </is>
      </c>
      <c r="B137" t="inlineStr">
        <is>
          <t>Lore</t>
        </is>
      </c>
      <c r="C137" t="inlineStr">
        <is>
          <t>Slaanesh</t>
        </is>
      </c>
      <c r="D137" t="inlineStr">
        <is>
          <t>6</t>
        </is>
      </c>
      <c r="E137" t="inlineStr">
        <is>
          <t>Touch</t>
        </is>
      </c>
      <c r="F137" t="inlineStr">
        <is>
          <t>1</t>
        </is>
      </c>
      <c r="G137" t="inlineStr">
        <is>
          <t>Willpower Bonus Rounds</t>
        </is>
      </c>
      <c r="H137" t="inlineStr">
        <is>
          <t>The target gains the Painless Creature Trait (see page 360) for the duration of the Spell. As they endure injuries, they experience a wave of pleasurable sensation.</t>
        </is>
      </c>
      <c r="I137" t="n">
        <v>260</v>
      </c>
    </row>
    <row r="138">
      <c r="A138" t="inlineStr">
        <is>
          <t>Phantasmagoria</t>
        </is>
      </c>
      <c r="B138" t="inlineStr">
        <is>
          <t>Lore</t>
        </is>
      </c>
      <c r="C138" t="inlineStr">
        <is>
          <t>Slaanesh</t>
        </is>
      </c>
      <c r="D138" t="inlineStr">
        <is>
          <t>8</t>
        </is>
      </c>
      <c r="E138" t="inlineStr">
        <is>
          <t>You</t>
        </is>
      </c>
      <c r="F138" t="inlineStr">
        <is>
          <t>AoE (Willpower Bonus yards)</t>
        </is>
      </c>
      <c r="G138" t="inlineStr">
        <is>
          <t>Willpower Bonus Rounds</t>
        </is>
      </c>
      <c r="H138" t="inlineStr">
        <is>
          <t>In response to your invocation, unearthly visions of beguiling and fearsome creatures fill the area of effect, giving you and all allies the Distracting Creature Trait (see page 358) for the duration of the Spell. Targets do not distract one another.</t>
        </is>
      </c>
      <c r="I138" t="n">
        <v>260</v>
      </c>
    </row>
    <row r="139">
      <c r="A139" t="inlineStr">
        <is>
          <t>Boon of Tzeentch</t>
        </is>
      </c>
      <c r="B139" t="inlineStr">
        <is>
          <t>Lore</t>
        </is>
      </c>
      <c r="C139" t="inlineStr">
        <is>
          <t>Tzeentch</t>
        </is>
      </c>
      <c r="D139" t="inlineStr">
        <is>
          <t>9</t>
        </is>
      </c>
      <c r="E139" t="inlineStr">
        <is>
          <t>You</t>
        </is>
      </c>
      <c r="F139" t="inlineStr">
        <is>
          <t>You</t>
        </is>
      </c>
      <c r="G139" t="inlineStr">
        <is>
          <t>Intelligence Bonus days</t>
        </is>
      </c>
      <c r="H139" t="inlineStr">
        <is>
          <t>Choose one Spell from any Lore. For the Duration, you may cast it as if you had memorised it, but may not record it in a grimoire. If you channel to cast the new Spell, you may use either Channelling (Dhar) or the Channelling Skill appropriate to the Spell, should you possess it.</t>
        </is>
      </c>
      <c r="I139" t="n">
        <v>260</v>
      </c>
    </row>
    <row r="140">
      <c r="A140" t="inlineStr">
        <is>
          <t>Transformation of Tzeentch</t>
        </is>
      </c>
      <c r="B140" t="inlineStr">
        <is>
          <t>Lore</t>
        </is>
      </c>
      <c r="C140" t="inlineStr">
        <is>
          <t>Tzeentch</t>
        </is>
      </c>
      <c r="D140" t="inlineStr">
        <is>
          <t>12</t>
        </is>
      </c>
      <c r="E140" t="inlineStr">
        <is>
          <t>Willpower Bonus yards</t>
        </is>
      </c>
      <c r="F140" t="inlineStr">
        <is>
          <t>1</t>
        </is>
      </c>
      <c r="G140" t="inlineStr">
        <is>
          <t>Willpower Bonus Rounds</t>
        </is>
      </c>
      <c r="H140" t="inlineStr">
        <is>
          <t>At your command, bonds of aethyric fire coil from the earth, shrouding your target in a cocoon of magical energy. The target gains the Prone Condition and is considered Helpless for the duration. At the end of each Round, they must pass a Challenging (+0 SL) Endurance Test or gain 1 Corruption Point.</t>
        </is>
      </c>
      <c r="I140" t="n">
        <v>260</v>
      </c>
    </row>
    <row r="141">
      <c r="A141" t="inlineStr">
        <is>
          <t>Treason of Tzeentch</t>
        </is>
      </c>
      <c r="B141" t="inlineStr">
        <is>
          <t>Lore</t>
        </is>
      </c>
      <c r="C141" t="inlineStr">
        <is>
          <t>Tzeentch</t>
        </is>
      </c>
      <c r="D141" t="inlineStr">
        <is>
          <t>6</t>
        </is>
      </c>
      <c r="E141" t="inlineStr">
        <is>
          <t>Willpower yards</t>
        </is>
      </c>
      <c r="F141" t="inlineStr">
        <is>
          <t>AoE (Initiative Bonus yards)</t>
        </is>
      </c>
      <c r="G141" t="inlineStr">
        <is>
          <t>Intelligence Bonus Rounds</t>
        </is>
      </c>
      <c r="H141" t="inlineStr">
        <is>
          <t>Targets gain Animosity (Allies). Further, unless immune to that Psychology, they cannot transfer Advantage to their allies and, if they score a Critical when attacking, they must pass a Hard (-2 SL) Cool Test or target their nearest ally.</t>
        </is>
      </c>
      <c r="I141" t="n">
        <v>260</v>
      </c>
    </row>
    <row r="142">
      <c r="A142" t="inlineStr">
        <is>
          <t>Blessing of Battle</t>
        </is>
      </c>
      <c r="B142" t="inlineStr">
        <is>
          <t>Blessing</t>
        </is>
      </c>
      <c r="C142" t="inlineStr">
        <is>
          <t>Manann, Myrmidia, Sigmar, Taal, Ulric</t>
        </is>
      </c>
      <c r="E142" t="inlineStr">
        <is>
          <t>6 yards</t>
        </is>
      </c>
      <c r="F142" t="inlineStr">
        <is>
          <t>1</t>
        </is>
      </c>
      <c r="G142" t="inlineStr">
        <is>
          <t>6 rounds</t>
        </is>
      </c>
      <c r="H142" t="inlineStr">
        <is>
          <t>Your target gains +10 Weapon Skill.</t>
        </is>
      </c>
      <c r="I142" t="n">
        <v>221</v>
      </c>
    </row>
    <row r="143">
      <c r="A143" t="inlineStr">
        <is>
          <t>Blessing of Breath</t>
        </is>
      </c>
      <c r="B143" t="inlineStr">
        <is>
          <t>Blessing</t>
        </is>
      </c>
      <c r="C143" t="inlineStr">
        <is>
          <t>Manann, Morr, Rhya, Shallya, Taal</t>
        </is>
      </c>
      <c r="E143" t="inlineStr">
        <is>
          <t>6 yards</t>
        </is>
      </c>
      <c r="F143" t="inlineStr">
        <is>
          <t>1</t>
        </is>
      </c>
      <c r="G143" t="inlineStr">
        <is>
          <t>6 rounds</t>
        </is>
      </c>
      <c r="H143" t="inlineStr">
        <is>
          <t>Your target does not need to breathe and ignores rules for Suffocation.</t>
        </is>
      </c>
      <c r="I143" t="n">
        <v>221</v>
      </c>
    </row>
    <row r="144">
      <c r="A144" t="inlineStr">
        <is>
          <t>Blessing of Charisma</t>
        </is>
      </c>
      <c r="B144" t="inlineStr">
        <is>
          <t>Blessing</t>
        </is>
      </c>
      <c r="C144" t="inlineStr">
        <is>
          <t>Ranald</t>
        </is>
      </c>
      <c r="E144" t="inlineStr">
        <is>
          <t>6 yards</t>
        </is>
      </c>
      <c r="F144" t="inlineStr">
        <is>
          <t>1</t>
        </is>
      </c>
      <c r="G144" t="inlineStr">
        <is>
          <t>6 rounds</t>
        </is>
      </c>
      <c r="H144" t="inlineStr">
        <is>
          <t>Your target gains +10 Fellowship.</t>
        </is>
      </c>
      <c r="I144" t="n">
        <v>221</v>
      </c>
    </row>
    <row r="145">
      <c r="A145" t="inlineStr">
        <is>
          <t>Blessing of Conscience</t>
        </is>
      </c>
      <c r="B145" t="inlineStr">
        <is>
          <t>Blessing</t>
        </is>
      </c>
      <c r="C145" t="inlineStr">
        <is>
          <t>Myrmidia, Ranald, Rhya, Shallya, Taal, Verena</t>
        </is>
      </c>
      <c r="E145" t="inlineStr">
        <is>
          <t>6 yards</t>
        </is>
      </c>
      <c r="F145" t="inlineStr">
        <is>
          <t>1</t>
        </is>
      </c>
      <c r="G145" t="inlineStr">
        <is>
          <t>6 rounds</t>
        </is>
      </c>
      <c r="H145" t="inlineStr">
        <is>
          <t>Your target must pass an Average (+2 SL) Cool Test to break any of the strictures of your deity. If they fail, they are overcome with shame and do not take the action.</t>
        </is>
      </c>
      <c r="I145" t="n">
        <v>221</v>
      </c>
    </row>
    <row r="146">
      <c r="A146" t="inlineStr">
        <is>
          <t>Blessing of Courage</t>
        </is>
      </c>
      <c r="B146" t="inlineStr">
        <is>
          <t>Blessing</t>
        </is>
      </c>
      <c r="C146" t="inlineStr">
        <is>
          <t>Manann, Morr, Myrmidia, Sigmar, Ulric, Verena</t>
        </is>
      </c>
      <c r="E146" t="inlineStr">
        <is>
          <t>6 yards</t>
        </is>
      </c>
      <c r="F146" t="inlineStr">
        <is>
          <t>1</t>
        </is>
      </c>
      <c r="G146" t="inlineStr">
        <is>
          <t>6 rounds</t>
        </is>
      </c>
      <c r="H146" t="inlineStr">
        <is>
          <t>Your target gains +10 Willpower.</t>
        </is>
      </c>
      <c r="I146" t="n">
        <v>221</v>
      </c>
    </row>
    <row r="147">
      <c r="A147" t="inlineStr">
        <is>
          <t>Blessing of Finesse</t>
        </is>
      </c>
      <c r="B147" t="inlineStr">
        <is>
          <t>Blessing</t>
        </is>
      </c>
      <c r="C147" t="inlineStr">
        <is>
          <t>Ranald</t>
        </is>
      </c>
      <c r="E147" t="inlineStr">
        <is>
          <t>6 yards</t>
        </is>
      </c>
      <c r="F147" t="inlineStr">
        <is>
          <t>1</t>
        </is>
      </c>
      <c r="G147" t="inlineStr">
        <is>
          <t>6 rounds</t>
        </is>
      </c>
      <c r="H147" t="inlineStr">
        <is>
          <t>Your target gains +10 Dexterity.</t>
        </is>
      </c>
      <c r="I147" t="n">
        <v>221</v>
      </c>
    </row>
    <row r="148">
      <c r="A148" t="inlineStr">
        <is>
          <t>Blessing of Fortune</t>
        </is>
      </c>
      <c r="B148" t="inlineStr">
        <is>
          <t>Blessing</t>
        </is>
      </c>
      <c r="C148" t="inlineStr">
        <is>
          <t>Morr, Myrmidia, Ranald, Verena</t>
        </is>
      </c>
      <c r="E148" t="inlineStr">
        <is>
          <t>6 yards</t>
        </is>
      </c>
      <c r="F148" t="inlineStr">
        <is>
          <t>1</t>
        </is>
      </c>
      <c r="G148" t="inlineStr">
        <is>
          <t>6 rounds</t>
        </is>
      </c>
      <c r="H148" t="inlineStr">
        <is>
          <t>Your target may reroll their next failed Test. The reroll must stand.</t>
        </is>
      </c>
      <c r="I148" t="n">
        <v>221</v>
      </c>
    </row>
    <row r="149">
      <c r="A149" t="inlineStr">
        <is>
          <t>Blessing of Grace</t>
        </is>
      </c>
      <c r="B149" t="inlineStr">
        <is>
          <t>Blessing</t>
        </is>
      </c>
      <c r="C149" t="inlineStr">
        <is>
          <t>Rhya</t>
        </is>
      </c>
      <c r="E149" t="inlineStr">
        <is>
          <t>6 yards</t>
        </is>
      </c>
      <c r="F149" t="inlineStr">
        <is>
          <t>1</t>
        </is>
      </c>
      <c r="G149" t="inlineStr">
        <is>
          <t>6 rounds</t>
        </is>
      </c>
      <c r="H149" t="inlineStr">
        <is>
          <t>Your target gains +10 Agility.</t>
        </is>
      </c>
      <c r="I149" t="n">
        <v>221</v>
      </c>
    </row>
    <row r="150">
      <c r="A150" t="inlineStr">
        <is>
          <t>Blessing of Hardiness</t>
        </is>
      </c>
      <c r="B150" t="inlineStr">
        <is>
          <t>Blessing</t>
        </is>
      </c>
      <c r="C150" t="inlineStr">
        <is>
          <t>Manann, Sigmar, Taal, Ulric</t>
        </is>
      </c>
      <c r="E150" t="inlineStr">
        <is>
          <t>6 yards</t>
        </is>
      </c>
      <c r="F150" t="inlineStr">
        <is>
          <t>1</t>
        </is>
      </c>
      <c r="G150" t="inlineStr">
        <is>
          <t>6 rounds</t>
        </is>
      </c>
      <c r="H150" t="inlineStr">
        <is>
          <t>Your target gains +10 Toughness.</t>
        </is>
      </c>
      <c r="I150" t="n">
        <v>221</v>
      </c>
    </row>
    <row r="151">
      <c r="A151" t="inlineStr">
        <is>
          <t>Blessing of Healing</t>
        </is>
      </c>
      <c r="B151" t="inlineStr">
        <is>
          <t>Blessing</t>
        </is>
      </c>
      <c r="C151" t="inlineStr">
        <is>
          <t>Rhya, Shallya</t>
        </is>
      </c>
      <c r="E151" t="inlineStr">
        <is>
          <t>Touch</t>
        </is>
      </c>
      <c r="F151" t="inlineStr">
        <is>
          <t>1</t>
        </is>
      </c>
      <c r="G151" t="inlineStr">
        <is>
          <t>Instant</t>
        </is>
      </c>
      <c r="H151" t="inlineStr">
        <is>
          <t>Your target heals +1 Wound.</t>
        </is>
      </c>
      <c r="I151" t="n">
        <v>221</v>
      </c>
    </row>
    <row r="152">
      <c r="A152" t="inlineStr">
        <is>
          <t>Blessing of Might</t>
        </is>
      </c>
      <c r="B152" t="inlineStr">
        <is>
          <t>Blessing</t>
        </is>
      </c>
      <c r="C152" t="inlineStr">
        <is>
          <t>Sigmar, Ulric</t>
        </is>
      </c>
      <c r="E152" t="inlineStr">
        <is>
          <t>6 yards</t>
        </is>
      </c>
      <c r="F152" t="inlineStr">
        <is>
          <t>1</t>
        </is>
      </c>
      <c r="G152" t="inlineStr">
        <is>
          <t>6 rounds</t>
        </is>
      </c>
      <c r="H152" t="inlineStr">
        <is>
          <t>Your target gains +10 Strength.</t>
        </is>
      </c>
      <c r="I152" t="n">
        <v>221</v>
      </c>
    </row>
    <row r="153">
      <c r="A153" t="inlineStr">
        <is>
          <t>Blessing of Protection</t>
        </is>
      </c>
      <c r="B153" t="inlineStr">
        <is>
          <t>Blessing</t>
        </is>
      </c>
      <c r="C153" t="inlineStr">
        <is>
          <t>Myrmidia, Ranald, Rhya, Shallya, Sigmar</t>
        </is>
      </c>
      <c r="E153" t="inlineStr">
        <is>
          <t>6 yards</t>
        </is>
      </c>
      <c r="F153" t="inlineStr">
        <is>
          <t>1</t>
        </is>
      </c>
      <c r="G153" t="inlineStr">
        <is>
          <t>6 rounds</t>
        </is>
      </c>
      <c r="H153" t="inlineStr">
        <is>
          <t>Enemies must make an Average (+2 SL) Cool Test to attack your target as shame wells within for considering violence. If they fail, they must choose a different target, or a different Action.</t>
        </is>
      </c>
      <c r="I153" t="n">
        <v>221</v>
      </c>
    </row>
    <row r="154">
      <c r="A154" t="inlineStr">
        <is>
          <t>Blessing of Recuperation</t>
        </is>
      </c>
      <c r="B154" t="inlineStr">
        <is>
          <t>Blessing</t>
        </is>
      </c>
      <c r="C154" t="inlineStr">
        <is>
          <t>Rhya, Shallya</t>
        </is>
      </c>
      <c r="E154" t="inlineStr">
        <is>
          <t>Touch</t>
        </is>
      </c>
      <c r="F154" t="inlineStr">
        <is>
          <t>1</t>
        </is>
      </c>
      <c r="G154" t="inlineStr">
        <is>
          <t>Instant</t>
        </is>
      </c>
      <c r="H154" t="inlineStr">
        <is>
          <t>Your target may reduce the duration of 1 disease with which they are afflicted by 1 day. This prayer may only be attempted once per instance of a disease per person.</t>
        </is>
      </c>
      <c r="I154" t="n">
        <v>221</v>
      </c>
    </row>
    <row r="155">
      <c r="A155" t="inlineStr">
        <is>
          <t>Blessing of Righteousness</t>
        </is>
      </c>
      <c r="B155" t="inlineStr">
        <is>
          <t>Blessing</t>
        </is>
      </c>
      <c r="C155" t="inlineStr">
        <is>
          <t>Morr, Myrmidia, Sigmar, Verena</t>
        </is>
      </c>
      <c r="E155" t="inlineStr">
        <is>
          <t>6 yards</t>
        </is>
      </c>
      <c r="F155" t="inlineStr">
        <is>
          <t>1</t>
        </is>
      </c>
      <c r="G155" t="inlineStr">
        <is>
          <t>6 rounds</t>
        </is>
      </c>
      <c r="H155" t="inlineStr">
        <is>
          <t>Your target's weapon counts as Magical.</t>
        </is>
      </c>
      <c r="I155" t="n">
        <v>221</v>
      </c>
    </row>
    <row r="156">
      <c r="A156" t="inlineStr">
        <is>
          <t>Blessing of Savagery</t>
        </is>
      </c>
      <c r="B156" t="inlineStr">
        <is>
          <t>Blessing</t>
        </is>
      </c>
      <c r="C156" t="inlineStr">
        <is>
          <t>Manann, Taal, Ulric</t>
        </is>
      </c>
      <c r="E156" t="inlineStr">
        <is>
          <t>6 yards</t>
        </is>
      </c>
      <c r="F156" t="inlineStr">
        <is>
          <t>1</t>
        </is>
      </c>
      <c r="G156" t="inlineStr">
        <is>
          <t>6 rounds</t>
        </is>
      </c>
      <c r="H156" t="inlineStr">
        <is>
          <t>When your target next inflicts a Critical Wound, roll twice and choose the best result.</t>
        </is>
      </c>
      <c r="I156" t="n">
        <v>221</v>
      </c>
    </row>
    <row r="157">
      <c r="A157" t="inlineStr">
        <is>
          <t>Blessing of Tenacity</t>
        </is>
      </c>
      <c r="B157" t="inlineStr">
        <is>
          <t>Blessing</t>
        </is>
      </c>
      <c r="C157" t="inlineStr">
        <is>
          <t>Manann, Morr, Shallya, Ulric</t>
        </is>
      </c>
      <c r="E157" t="inlineStr">
        <is>
          <t>6 yards</t>
        </is>
      </c>
      <c r="F157" t="inlineStr">
        <is>
          <t>1</t>
        </is>
      </c>
      <c r="G157" t="inlineStr">
        <is>
          <t>Instant</t>
        </is>
      </c>
      <c r="H157" t="inlineStr">
        <is>
          <t>Your target may remove 1 Condition (except Besmirched).</t>
        </is>
      </c>
      <c r="I157" t="n">
        <v>221</v>
      </c>
    </row>
    <row r="158">
      <c r="A158" t="inlineStr">
        <is>
          <t>Blessing of The Hunt</t>
        </is>
      </c>
      <c r="B158" t="inlineStr">
        <is>
          <t>Blessing</t>
        </is>
      </c>
      <c r="C158" t="inlineStr">
        <is>
          <t>Taal</t>
        </is>
      </c>
      <c r="E158" t="inlineStr">
        <is>
          <t>6 yards</t>
        </is>
      </c>
      <c r="F158" t="inlineStr">
        <is>
          <t>1</t>
        </is>
      </c>
      <c r="G158" t="inlineStr">
        <is>
          <t>6 rounds</t>
        </is>
      </c>
      <c r="H158" t="inlineStr">
        <is>
          <t>Your target gains +10 Ballistic Skill.</t>
        </is>
      </c>
      <c r="I158" t="n">
        <v>221</v>
      </c>
    </row>
    <row r="159">
      <c r="A159" t="inlineStr">
        <is>
          <t>Blessing of Wisdom</t>
        </is>
      </c>
      <c r="B159" t="inlineStr">
        <is>
          <t>Blessing</t>
        </is>
      </c>
      <c r="C159" t="inlineStr">
        <is>
          <t>Morr, Verena</t>
        </is>
      </c>
      <c r="E159" t="inlineStr">
        <is>
          <t>6 yards</t>
        </is>
      </c>
      <c r="F159" t="inlineStr">
        <is>
          <t>1</t>
        </is>
      </c>
      <c r="G159" t="inlineStr">
        <is>
          <t>6 rounds</t>
        </is>
      </c>
      <c r="H159" t="inlineStr">
        <is>
          <t>Your target gains +10 Intelligence.</t>
        </is>
      </c>
      <c r="I159" t="n">
        <v>221</v>
      </c>
    </row>
    <row r="160">
      <c r="A160" t="inlineStr">
        <is>
          <t>Blessing of Wit</t>
        </is>
      </c>
      <c r="B160" t="inlineStr">
        <is>
          <t>Blessing</t>
        </is>
      </c>
      <c r="C160" t="inlineStr">
        <is>
          <t>Ranald, Verena</t>
        </is>
      </c>
      <c r="E160" t="inlineStr">
        <is>
          <t>6 yards</t>
        </is>
      </c>
      <c r="F160" t="inlineStr">
        <is>
          <t>1</t>
        </is>
      </c>
      <c r="G160" t="inlineStr">
        <is>
          <t>6 rounds</t>
        </is>
      </c>
      <c r="H160" t="inlineStr">
        <is>
          <t>Your target gains +10 Initiative.</t>
        </is>
      </c>
      <c r="I160" t="n">
        <v>221</v>
      </c>
    </row>
    <row r="161">
      <c r="A161" t="inlineStr">
        <is>
          <t>Becalm</t>
        </is>
      </c>
      <c r="B161" t="inlineStr">
        <is>
          <t>Miracle</t>
        </is>
      </c>
      <c r="C161" t="inlineStr">
        <is>
          <t>Manann</t>
        </is>
      </c>
      <c r="E161" t="inlineStr">
        <is>
          <t>Fellowship Bonus miles</t>
        </is>
      </c>
      <c r="F161" t="inlineStr">
        <is>
          <t>1 sailing vessel within line of sight</t>
        </is>
      </c>
      <c r="G161" t="inlineStr">
        <is>
          <t>1 hour</t>
        </is>
      </c>
      <c r="H161" t="inlineStr">
        <is>
          <t>It is completely becalmed. Even in stormy weather, an area of eerie calm and smooth waters surrounds the vessel while gales, lashing rains and towering crests surge and crash around it. This area of calm extends for Fellowship yards from the vessel, and if the ship is propelled by some other method, such as oars, the area of calm travels with it.</t>
        </is>
      </c>
      <c r="I161" t="n">
        <v>222</v>
      </c>
    </row>
    <row r="162">
      <c r="A162" t="inlineStr">
        <is>
          <t>Drowned Man's Face</t>
        </is>
      </c>
      <c r="B162" t="inlineStr">
        <is>
          <t>Miracle</t>
        </is>
      </c>
      <c r="C162" t="inlineStr">
        <is>
          <t>Manann</t>
        </is>
      </c>
      <c r="E162" t="inlineStr">
        <is>
          <t>Fellowship yards</t>
        </is>
      </c>
      <c r="F162" t="inlineStr">
        <is>
          <t>1</t>
        </is>
      </c>
      <c r="G162" t="inlineStr">
        <is>
          <t>Fellowship Bonus Rounds</t>
        </is>
      </c>
      <c r="H162" t="inlineStr">
        <is>
          <t>Your target's lungs continuously fill with saltwater while the Miracle is active, and their hair floats around their head as if submerged. For the duration, the target suffers a Fatigued Condition and drowns (see page 169). The water is holy, so daemons and undead drown too.</t>
        </is>
      </c>
      <c r="I162" t="n">
        <v>222</v>
      </c>
    </row>
    <row r="163">
      <c r="A163" t="inlineStr">
        <is>
          <t>Fair Winds</t>
        </is>
      </c>
      <c r="B163" t="inlineStr">
        <is>
          <t>Miracle</t>
        </is>
      </c>
      <c r="C163" t="inlineStr">
        <is>
          <t>Manann</t>
        </is>
      </c>
      <c r="E163" t="inlineStr">
        <is>
          <t>Initiative Bonus miles</t>
        </is>
      </c>
      <c r="F163" t="inlineStr">
        <is>
          <t>1 sailing vessel within line of sight</t>
        </is>
      </c>
      <c r="G163" t="inlineStr">
        <is>
          <t>1 hour</t>
        </is>
      </c>
      <c r="H163" t="inlineStr">
        <is>
          <t>The target vessel's sails fill with favourable winds, speeding them safely towards their destination. While this Miracle is active, the sailing vessel moves at top speed, no matter the prevailing wind, tide, or current, and all Sail Tests made to control the vessel gain a bonus of +1 SL.</t>
        </is>
      </c>
      <c r="I163" t="n">
        <v>222</v>
      </c>
    </row>
    <row r="164">
      <c r="A164" t="inlineStr">
        <is>
          <t>Manalt's Bounty</t>
        </is>
      </c>
      <c r="B164" t="inlineStr">
        <is>
          <t>Miracle</t>
        </is>
      </c>
      <c r="C164" t="inlineStr">
        <is>
          <t>Manann</t>
        </is>
      </c>
      <c r="E164" t="inlineStr">
        <is>
          <t>Special</t>
        </is>
      </c>
      <c r="F164" t="inlineStr">
        <is>
          <t>Special</t>
        </is>
      </c>
      <c r="G164" t="inlineStr">
        <is>
          <t>Instant</t>
        </is>
      </c>
      <c r="H164" t="inlineStr">
        <is>
          <t>You implore the Lord of Sea's Bounty to provide you with sustenance. Reaching into a body of water, you catch enough fish to feed 1 person. If you reach into the sea, you provide enough fish for 2 people. For every +2 SL, you may feed another person.</t>
        </is>
      </c>
      <c r="I164" t="n">
        <v>222</v>
      </c>
    </row>
    <row r="165">
      <c r="A165" t="inlineStr">
        <is>
          <t>Sea Legs</t>
        </is>
      </c>
      <c r="B165" t="inlineStr">
        <is>
          <t>Miracle</t>
        </is>
      </c>
      <c r="C165" t="inlineStr">
        <is>
          <t>Manann</t>
        </is>
      </c>
      <c r="E165" t="inlineStr">
        <is>
          <t>Fellowship yards</t>
        </is>
      </c>
      <c r="F165" t="inlineStr">
        <is>
          <t>1</t>
        </is>
      </c>
      <c r="G165" t="inlineStr">
        <is>
          <t>Fellowship Bonus Rounds</t>
        </is>
      </c>
      <c r="H165" t="inlineStr">
        <is>
          <t>Their hair is whipped by spectral winds, and a torrent of spray lashes their skin. They gain one each of the Blinded, Deafened, and Fatigued Conditions, and must attempt an Average (+2 SL) Athletics Test to use their Move. If they fail, they also gain the Prone Condition.</t>
        </is>
      </c>
      <c r="I165" t="n">
        <v>223</v>
      </c>
    </row>
    <row r="166">
      <c r="A166" t="inlineStr">
        <is>
          <t>Waterwalk</t>
        </is>
      </c>
      <c r="B166" t="inlineStr">
        <is>
          <t>Miracle</t>
        </is>
      </c>
      <c r="C166" t="inlineStr">
        <is>
          <t>Manann</t>
        </is>
      </c>
      <c r="E166" t="inlineStr">
        <is>
          <t>You</t>
        </is>
      </c>
      <c r="F166" t="inlineStr">
        <is>
          <t>You</t>
        </is>
      </c>
      <c r="G166" t="inlineStr">
        <is>
          <t>Fellowship Bonus minutes</t>
        </is>
      </c>
      <c r="H166" t="inlineStr">
        <is>
          <t>You call on Manann to allow you to cross a stretch of open water as if it were solid ground. This only works on larger bodies of water that are at least 10 yards wide. Anything smaller is too far removed from Manann's domain for it to be noticed.</t>
        </is>
      </c>
      <c r="I166" t="n">
        <v>223</v>
      </c>
    </row>
    <row r="167">
      <c r="A167" t="inlineStr">
        <is>
          <t>Death Mask</t>
        </is>
      </c>
      <c r="B167" t="inlineStr">
        <is>
          <t>Miracle</t>
        </is>
      </c>
      <c r="C167" t="inlineStr">
        <is>
          <t>Morr</t>
        </is>
      </c>
      <c r="E167" t="inlineStr">
        <is>
          <t>You</t>
        </is>
      </c>
      <c r="F167" t="inlineStr">
        <is>
          <t>You</t>
        </is>
      </c>
      <c r="G167" t="inlineStr">
        <is>
          <t>Fellowship Bonus Rounds</t>
        </is>
      </c>
      <c r="H167" t="inlineStr">
        <is>
          <t>Morr works through you, piercing the Portal to make his presence known to your foes. Your visage takes on a cadaverous mien, and you gain Fear. Undead are not immune to this Fear regardless of any Talents, Traits (including Construct), or other effects.</t>
        </is>
      </c>
      <c r="I167" t="n">
        <v>223</v>
      </c>
    </row>
    <row r="168">
      <c r="A168" t="inlineStr">
        <is>
          <t>Destroy Undead</t>
        </is>
      </c>
      <c r="B168" t="inlineStr">
        <is>
          <t>Miracle</t>
        </is>
      </c>
      <c r="C168" t="inlineStr">
        <is>
          <t>Morr</t>
        </is>
      </c>
      <c r="E168" t="inlineStr">
        <is>
          <t>Yo</t>
        </is>
      </c>
      <c r="F168" t="inlineStr">
        <is>
          <t>AoE (Fellowship Bonus yards)</t>
        </is>
      </c>
      <c r="G168" t="inlineStr">
        <is>
          <t>Instant</t>
        </is>
      </c>
      <c r="H168" t="inlineStr">
        <is>
          <t>A black fire ripples forth from your body in a perfect circle. All targets with the Undead Creature Trait lose 1d10 Wounds, ignoring Toughness Bonus and Armour Points. Any undead destroyed by this Miracle can never be raised with Necromancy again under normal conditions. For every SL, you may cause 1 additional Wound.</t>
        </is>
      </c>
      <c r="I168" t="n">
        <v>223</v>
      </c>
    </row>
    <row r="169">
      <c r="A169" t="inlineStr">
        <is>
          <t>Dooming</t>
        </is>
      </c>
      <c r="B169" t="inlineStr">
        <is>
          <t>Miracle</t>
        </is>
      </c>
      <c r="C169" t="inlineStr">
        <is>
          <t>Morr</t>
        </is>
      </c>
      <c r="E169" t="inlineStr">
        <is>
          <t>Touch</t>
        </is>
      </c>
      <c r="F169" t="inlineStr">
        <is>
          <t>1</t>
        </is>
      </c>
      <c r="G169" t="inlineStr">
        <is>
          <t>Instant</t>
        </is>
      </c>
      <c r="H169" t="inlineStr">
        <is>
          <t>Gazing deeply into your target's eyes while muttering a threnody to Morr, you are granted a vision of the target's Doom, a glimpse of what the future holds. This is almost always related to the target's death. This Miracle may only be performed on a character once, after which the Doomed Talent may be purchased with XP as if it were in the target's Career.</t>
        </is>
      </c>
      <c r="I169" t="n">
        <v>223</v>
      </c>
    </row>
    <row r="170">
      <c r="A170" t="inlineStr">
        <is>
          <t>Last Rites</t>
        </is>
      </c>
      <c r="B170" t="inlineStr">
        <is>
          <t>Miracle</t>
        </is>
      </c>
      <c r="C170" t="inlineStr">
        <is>
          <t>Morr</t>
        </is>
      </c>
      <c r="E170" t="inlineStr">
        <is>
          <t>1 yard</t>
        </is>
      </c>
      <c r="F170" t="inlineStr">
        <is>
          <t>1</t>
        </is>
      </c>
      <c r="G170" t="inlineStr">
        <is>
          <t>Instant</t>
        </is>
      </c>
      <c r="H170" t="inlineStr">
        <is>
          <t>You chant a solemn requiem over a corpse. This Miracle ensures that the soul is sent through the portal to Morr's realm, and guarantees the cadaver may not be targeted by any Necromantic spells. If the Miracle targets a foe with the Construct and Undead Creature Traits, it will be destroyed.</t>
        </is>
      </c>
      <c r="I170" t="n">
        <v>223</v>
      </c>
    </row>
    <row r="171">
      <c r="A171" t="inlineStr">
        <is>
          <t>Portal's Threshold</t>
        </is>
      </c>
      <c r="B171" t="inlineStr">
        <is>
          <t>Miracle</t>
        </is>
      </c>
      <c r="C171" t="inlineStr">
        <is>
          <t>Morr</t>
        </is>
      </c>
      <c r="E171" t="inlineStr">
        <is>
          <t>Touch</t>
        </is>
      </c>
      <c r="F171" t="inlineStr">
        <is>
          <t>Special</t>
        </is>
      </c>
      <c r="G171" t="inlineStr">
        <is>
          <t>Until sunrise</t>
        </is>
      </c>
      <c r="H171" t="inlineStr">
        <is>
          <t>Upon enacting the Miracle, an indistinct, shadowy portal seems to manifest to the hoarse croaking of ravens. Creatures with the Undead Creature Trait must pass a Challenging (+0 SL) Cool Test to cross the line. Creatures with both Undead and Construct simply cannot cross the line.</t>
        </is>
      </c>
      <c r="I171" t="n">
        <v>223</v>
      </c>
    </row>
    <row r="172">
      <c r="A172" t="inlineStr">
        <is>
          <t>Stay Morr's Hand</t>
        </is>
      </c>
      <c r="B172" t="inlineStr">
        <is>
          <t>Miracle</t>
        </is>
      </c>
      <c r="C172" t="inlineStr">
        <is>
          <t>Morr</t>
        </is>
      </c>
      <c r="E172" t="inlineStr">
        <is>
          <t>Touch</t>
        </is>
      </c>
      <c r="F172" t="inlineStr">
        <is>
          <t>1</t>
        </is>
      </c>
      <c r="G172" t="inlineStr">
        <is>
          <t>Fellowship Bonus hours</t>
        </is>
      </c>
      <c r="H172" t="inlineStr">
        <is>
          <t>The target must have 0 Wounds and be willing. For the duration of the Miracle, the target gains the Unconscious Condition and will not deteriorate until the Miracle ends, staving off disease, ignoring Critical Wounds and poisons, and similar. This Miracle comes to an end should appropriate healing be provided, or should you perform the last rites.</t>
        </is>
      </c>
      <c r="I172" t="n">
        <v>223</v>
      </c>
    </row>
    <row r="173">
      <c r="A173" t="inlineStr">
        <is>
          <t>Blazing Sun</t>
        </is>
      </c>
      <c r="B173" t="inlineStr">
        <is>
          <t>Miracle</t>
        </is>
      </c>
      <c r="C173" t="inlineStr">
        <is>
          <t>Myrmidia</t>
        </is>
      </c>
      <c r="E173" t="inlineStr">
        <is>
          <t>Special</t>
        </is>
      </c>
      <c r="F173" t="inlineStr">
        <is>
          <t>Special</t>
        </is>
      </c>
      <c r="G173" t="inlineStr">
        <is>
          <t>Instant</t>
        </is>
      </c>
      <c r="H173" t="inlineStr">
        <is>
          <t>You call on Myrmidia to scour the battlefield of dishonourable foes, and a blinding flash of golden light bursts forth. All non-Myrmidians looking in your direction receive 1 Blinded Condition. For every +2 SL, they receive +1 Blinded Condition.</t>
        </is>
      </c>
      <c r="I173" t="n">
        <v>224</v>
      </c>
    </row>
    <row r="174">
      <c r="A174" t="inlineStr">
        <is>
          <t>Eagle's Eye</t>
        </is>
      </c>
      <c r="B174" t="inlineStr">
        <is>
          <t>Miracle</t>
        </is>
      </c>
      <c r="C174" t="inlineStr">
        <is>
          <t>Myrmidia</t>
        </is>
      </c>
      <c r="E174" t="inlineStr">
        <is>
          <t>Fellowship yards</t>
        </is>
      </c>
      <c r="F174" t="inlineStr">
        <is>
          <t>You</t>
        </is>
      </c>
      <c r="G174" t="inlineStr">
        <is>
          <t>Fellowship Bonus Rounds</t>
        </is>
      </c>
      <c r="H174" t="inlineStr">
        <is>
          <t>A spectral eagle manifests, soaring into the sky above. The eagle looks like and has the capabilities of a normal eagle, but cannot physically affect the world or be harmed in any way. While the Miracle is in effect, you can see through the eagle's eyes and control its flight, surveying the battlefield and spying upon your enemies.</t>
        </is>
      </c>
      <c r="I174" t="n">
        <v>224</v>
      </c>
    </row>
    <row r="175">
      <c r="A175" t="inlineStr">
        <is>
          <t>Fury's Call</t>
        </is>
      </c>
      <c r="B175" t="inlineStr">
        <is>
          <t>Miracle</t>
        </is>
      </c>
      <c r="C175" t="inlineStr">
        <is>
          <t>Myrmidia</t>
        </is>
      </c>
      <c r="E175" t="inlineStr">
        <is>
          <t>You</t>
        </is>
      </c>
      <c r="F175" t="inlineStr">
        <is>
          <t>AoE (Fellowship Bonus yards)</t>
        </is>
      </c>
      <c r="G175" t="inlineStr">
        <is>
          <t>Fellowship Bonus Rounds</t>
        </is>
      </c>
      <c r="H175" t="inlineStr">
        <is>
          <t>Your passionate prayers instil your allies with a furious disdain for their foes. Allied characters receive the Frenzy Creature Trait (see page 358).</t>
        </is>
      </c>
      <c r="I175" t="n">
        <v>224</v>
      </c>
    </row>
    <row r="176">
      <c r="A176" t="inlineStr">
        <is>
          <t>Inspiring</t>
        </is>
      </c>
      <c r="B176" t="inlineStr">
        <is>
          <t>Miracle</t>
        </is>
      </c>
      <c r="C176" t="inlineStr">
        <is>
          <t>Myrmidia</t>
        </is>
      </c>
      <c r="E176" t="inlineStr">
        <is>
          <t>You</t>
        </is>
      </c>
      <c r="F176" t="inlineStr">
        <is>
          <t>AoE (Fellowship Bonus yards)</t>
        </is>
      </c>
      <c r="G176" t="inlineStr">
        <is>
          <t>Fellowship Bonus Rounds</t>
        </is>
      </c>
      <c r="H176" t="inlineStr">
        <is>
          <t>Your rousing prayers inspire discipline and coordination within the ranks. Allied characters gain +1 Drilled Talent.</t>
        </is>
      </c>
      <c r="I176" t="n">
        <v>224</v>
      </c>
    </row>
    <row r="177">
      <c r="A177" t="inlineStr">
        <is>
          <t>Shield of Myrmidia</t>
        </is>
      </c>
      <c r="B177" t="inlineStr">
        <is>
          <t>Miracle</t>
        </is>
      </c>
      <c r="C177" t="inlineStr">
        <is>
          <t>Myrmidia</t>
        </is>
      </c>
      <c r="E177" t="inlineStr">
        <is>
          <t>Fellowship yards</t>
        </is>
      </c>
      <c r="F177" t="inlineStr">
        <is>
          <t>Fellowship Bonus</t>
        </is>
      </c>
      <c r="G177" t="inlineStr">
        <is>
          <t>Fellowship Bonus Rounds</t>
        </is>
      </c>
      <c r="H177" t="inlineStr">
        <is>
          <t>Your stalwart prayers incite Myrmidia to shield your allies in glittering, gossamer strands of light, warding enemy blows. Allies gain +1 Armour Point on all Hit Locations.</t>
        </is>
      </c>
      <c r="I177" t="n">
        <v>224</v>
      </c>
    </row>
    <row r="178">
      <c r="A178" t="inlineStr">
        <is>
          <t>Spear of Myrmidia</t>
        </is>
      </c>
      <c r="B178" t="inlineStr">
        <is>
          <t>Miracle</t>
        </is>
      </c>
      <c r="C178" t="inlineStr">
        <is>
          <t>Myrmidia</t>
        </is>
      </c>
      <c r="E178" t="inlineStr">
        <is>
          <t>You</t>
        </is>
      </c>
      <c r="F178" t="inlineStr">
        <is>
          <t>You</t>
        </is>
      </c>
      <c r="G178" t="inlineStr">
        <is>
          <t>Fellowship Bonus Rounds</t>
        </is>
      </c>
      <c r="H178" t="inlineStr">
        <is>
          <t>If wielding a spear, it gains the Impact Quality and counts as Magical.</t>
        </is>
      </c>
      <c r="I178" t="n">
        <v>224</v>
      </c>
    </row>
    <row r="179">
      <c r="A179" t="inlineStr">
        <is>
          <t>An Invitation</t>
        </is>
      </c>
      <c r="B179" t="inlineStr">
        <is>
          <t>Miracle</t>
        </is>
      </c>
      <c r="C179" t="inlineStr">
        <is>
          <t>Ranald</t>
        </is>
      </c>
      <c r="E179" t="inlineStr">
        <is>
          <t>1 yard</t>
        </is>
      </c>
      <c r="F179" t="inlineStr">
        <is>
          <t>1</t>
        </is>
      </c>
      <c r="G179" t="inlineStr">
        <is>
          <t>Instant</t>
        </is>
      </c>
      <c r="H179" t="inlineStr">
        <is>
          <t>You spin one of Ranald's riddles concerning portals, and whether they exist if closed. A door, window, or hatch you target has one method of securing it undone — a lock unlocks, a latch unlatches, a rope unties. For every +2 SL, you may target another method of securing the door, window, or hatch.</t>
        </is>
      </c>
      <c r="I179" t="n">
        <v>224</v>
      </c>
    </row>
    <row r="180">
      <c r="A180" t="inlineStr">
        <is>
          <t>Cat's Eyes</t>
        </is>
      </c>
      <c r="B180" t="inlineStr">
        <is>
          <t>Miracle</t>
        </is>
      </c>
      <c r="C180" t="inlineStr">
        <is>
          <t>Ranald</t>
        </is>
      </c>
      <c r="E180" t="inlineStr">
        <is>
          <t>Fellowship yards</t>
        </is>
      </c>
      <c r="F180" t="inlineStr">
        <is>
          <t>You</t>
        </is>
      </c>
      <c r="G180" t="inlineStr">
        <is>
          <t>Fellowship Bonus Rounds</t>
        </is>
      </c>
      <c r="H180" t="inlineStr">
        <is>
          <t>You riddle with Ranald, who sends a Divine Servant in the form of a cat as an answer. The cat has the capabilities of a normal cat, but cannot be harmed in any way. While the Miracle is in effect, you perceive everything the cat perceives and control its movement.</t>
        </is>
      </c>
      <c r="I180" t="n">
        <v>224</v>
      </c>
    </row>
    <row r="181">
      <c r="A181" t="inlineStr">
        <is>
          <t>Cheat the Odds</t>
        </is>
      </c>
      <c r="B181" t="inlineStr">
        <is>
          <t>Miracle</t>
        </is>
      </c>
      <c r="C181" t="inlineStr">
        <is>
          <t>Ranald</t>
        </is>
      </c>
      <c r="E181" t="inlineStr">
        <is>
          <t>You</t>
        </is>
      </c>
      <c r="F181" t="inlineStr">
        <is>
          <t>You</t>
        </is>
      </c>
      <c r="G181" t="inlineStr">
        <is>
          <t>Special</t>
        </is>
      </c>
      <c r="H181" t="inlineStr">
        <is>
          <t>Crossing your fingers, you ask what, exactly, is luck? Gain +1 Fortune Point, which lasts until the end of the session. For every +2 SL, you may gain an extra +1 Fortune Point. You may not invoke this Miracle again until you reach 0 Fortune points.</t>
        </is>
      </c>
      <c r="I181" t="n">
        <v>224</v>
      </c>
    </row>
    <row r="182">
      <c r="A182" t="inlineStr">
        <is>
          <t>Ranald's Grace</t>
        </is>
      </c>
      <c r="B182" t="inlineStr">
        <is>
          <t>Miracle</t>
        </is>
      </c>
      <c r="C182" t="inlineStr">
        <is>
          <t>Ranald</t>
        </is>
      </c>
      <c r="E182" t="inlineStr">
        <is>
          <t>Touch</t>
        </is>
      </c>
      <c r="F182" t="inlineStr">
        <is>
          <t>1</t>
        </is>
      </c>
      <c r="G182" t="inlineStr">
        <is>
          <t>Fellowship Bonus Rounds</t>
        </is>
      </c>
      <c r="H182" t="inlineStr">
        <is>
          <t>You call on Ranald to let your target negotiate the riddles of reality. Your target gains +10 Agility, +10 Stealth, and +1 Catfall Talent for the duration of the Miracle.</t>
        </is>
      </c>
      <c r="I182" t="n">
        <v>225</v>
      </c>
    </row>
    <row r="183">
      <c r="A183" t="inlineStr">
        <is>
          <t>Trickster's Glamour</t>
        </is>
      </c>
      <c r="B183" t="inlineStr">
        <is>
          <t>Miracle</t>
        </is>
      </c>
      <c r="C183" t="inlineStr">
        <is>
          <t>Ranald</t>
        </is>
      </c>
      <c r="E183" t="inlineStr">
        <is>
          <t>1 yard</t>
        </is>
      </c>
      <c r="F183" t="inlineStr">
        <is>
          <t>1</t>
        </is>
      </c>
      <c r="G183" t="inlineStr">
        <is>
          <t>Fellowship Bonus minutes</t>
        </is>
      </c>
      <c r="H183" t="inlineStr">
        <is>
          <t>For each target affected, choose one option: The target's purse appears empty. The target's purse appears full. The target's attire appears cheap and unremarkable. The target's attire appears rich and finely crafted. A single valuable item is impossible to perceive. For every +2 SL, you may select an additional effect for one of your targets.</t>
        </is>
      </c>
      <c r="I183" t="n">
        <v>225</v>
      </c>
    </row>
    <row r="184">
      <c r="A184" t="inlineStr">
        <is>
          <t>You Saw Nothing</t>
        </is>
      </c>
      <c r="B184" t="inlineStr">
        <is>
          <t>Miracle</t>
        </is>
      </c>
      <c r="C184" t="inlineStr">
        <is>
          <t>Ranald</t>
        </is>
      </c>
      <c r="E184" t="inlineStr">
        <is>
          <t>Fellowship yards</t>
        </is>
      </c>
      <c r="F184" t="inlineStr">
        <is>
          <t>1</t>
        </is>
      </c>
      <c r="G184" t="inlineStr">
        <is>
          <t>Fellowship Bonus Rounds</t>
        </is>
      </c>
      <c r="H184" t="inlineStr">
        <is>
          <t>You spin a complex conundrum concerning the reality of that which is unperceived. The target may pass unnoticed and remarked, providing they do nothing to draw attention to themselves, such as touching, attacking, calling out to someone, casting a spell, or making a loud noise. You may only invoke this Miracle if no one is looking directly at you.</t>
        </is>
      </c>
      <c r="I184" t="n">
        <v>225</v>
      </c>
    </row>
    <row r="185">
      <c r="A185" t="inlineStr">
        <is>
          <t>Rhya's Children</t>
        </is>
      </c>
      <c r="B185" t="inlineStr">
        <is>
          <t>Miracle</t>
        </is>
      </c>
      <c r="C185" t="inlineStr">
        <is>
          <t>Rhya</t>
        </is>
      </c>
      <c r="E185" t="inlineStr">
        <is>
          <t>You</t>
        </is>
      </c>
      <c r="F185" t="inlineStr">
        <is>
          <t>AoE (Fellowship yards)</t>
        </is>
      </c>
      <c r="G185" t="inlineStr">
        <is>
          <t>Fellowship Bonus Rounds</t>
        </is>
      </c>
      <c r="H185" t="inlineStr">
        <is>
          <t>Laying hands on the earth, you chant a prayer to Rhya appealing for her aid in understanding her realm. This Miracle may only be invoked outdoors, outside settlements. You sense the presence and passing of all living creatures within the Area of Effect.</t>
        </is>
      </c>
      <c r="I185" t="n">
        <v>225</v>
      </c>
    </row>
    <row r="186">
      <c r="A186" t="inlineStr">
        <is>
          <t>Rhya's Harvest</t>
        </is>
      </c>
      <c r="B186" t="inlineStr">
        <is>
          <t>Miracle</t>
        </is>
      </c>
      <c r="C186" t="inlineStr">
        <is>
          <t>Rhya</t>
        </is>
      </c>
      <c r="E186" t="inlineStr">
        <is>
          <t>Touch</t>
        </is>
      </c>
      <c r="F186" t="inlineStr">
        <is>
          <t>Special</t>
        </is>
      </c>
      <c r="G186" t="inlineStr">
        <is>
          <t>1 Round</t>
        </is>
      </c>
      <c r="H186" t="inlineStr">
        <is>
          <t>You chant to Rhya, and life springs forth. Edible fruit, vegetables, and fungi grow at the point where you touch. Each Round, enough food grows to feed 1 person. The type of food depends on your location: in a meadow you may grow grains, while in a wood you may cause many different fruits and fungi to spring forth.</t>
        </is>
      </c>
      <c r="I186" t="n">
        <v>225</v>
      </c>
    </row>
    <row r="187">
      <c r="A187" t="inlineStr">
        <is>
          <t>Rhya's Shelter</t>
        </is>
      </c>
      <c r="B187" t="inlineStr">
        <is>
          <t>Miracle</t>
        </is>
      </c>
      <c r="C187" t="inlineStr">
        <is>
          <t>Rhya</t>
        </is>
      </c>
      <c r="E187" t="inlineStr">
        <is>
          <t>You</t>
        </is>
      </c>
      <c r="F187" t="inlineStr">
        <is>
          <t>You</t>
        </is>
      </c>
      <c r="G187" t="inlineStr">
        <is>
          <t>Special</t>
        </is>
      </c>
      <c r="H187" t="inlineStr">
        <is>
          <t>You may only invoke this Miracle outdoors and outside settlements. You discover a perfect natural shelter. Some combination of earth and trees has formed a perfect location to camp for the night. The spot is protected from all naturally occurring wind and rain, and lasts as long as you remain camped there. The shelter is large enough for 1 person.</t>
        </is>
      </c>
      <c r="I187" t="n">
        <v>225</v>
      </c>
    </row>
    <row r="188">
      <c r="A188" t="inlineStr">
        <is>
          <t>Rhya's Succour</t>
        </is>
      </c>
      <c r="B188" t="inlineStr">
        <is>
          <t>Miracle</t>
        </is>
      </c>
      <c r="C188" t="inlineStr">
        <is>
          <t>Rhya</t>
        </is>
      </c>
      <c r="E188" t="inlineStr">
        <is>
          <t>Fellowship yards</t>
        </is>
      </c>
      <c r="F188" t="inlineStr">
        <is>
          <t>Fellowship Bonus</t>
        </is>
      </c>
      <c r="G188" t="inlineStr">
        <is>
          <t>Instant</t>
        </is>
      </c>
      <c r="H188" t="inlineStr">
        <is>
          <t>You chant Rhya's song of revitalisation. All targets remove 1 Condition. If this removes all suffered Conditions, the targets feel as refreshed as if they had just awoken from a good night's sleep, and gain a bonus of +1 SL to any Tests on their next Turn.</t>
        </is>
      </c>
      <c r="I188" t="n">
        <v>225</v>
      </c>
    </row>
    <row r="189">
      <c r="A189" t="inlineStr">
        <is>
          <t>Rhya's Touch</t>
        </is>
      </c>
      <c r="B189" t="inlineStr">
        <is>
          <t>Miracle</t>
        </is>
      </c>
      <c r="C189" t="inlineStr">
        <is>
          <t>Rhya</t>
        </is>
      </c>
      <c r="E189" t="inlineStr">
        <is>
          <t>Touch</t>
        </is>
      </c>
      <c r="F189" t="inlineStr">
        <is>
          <t>1</t>
        </is>
      </c>
      <c r="G189" t="inlineStr">
        <is>
          <t>Special</t>
        </is>
      </c>
      <c r="H189" t="inlineStr">
        <is>
          <t>Choose one of the following effects: Heal Fellowship Bonus Wounds. Cure 1 naturally occurring disease. For every + 2 SL, you may choose another effect, and may choose the same effect repeatedly. This Miracle is slow, with the effects taking at least 10 minutes to manifest. If interrupted, the Miracle will need to be attempted again.</t>
        </is>
      </c>
      <c r="I189" t="n">
        <v>225</v>
      </c>
    </row>
    <row r="190">
      <c r="A190" t="inlineStr">
        <is>
          <t>Rhya's Union</t>
        </is>
      </c>
      <c r="B190" t="inlineStr">
        <is>
          <t>Miracle</t>
        </is>
      </c>
      <c r="C190" t="inlineStr">
        <is>
          <t>Rhya</t>
        </is>
      </c>
      <c r="E190" t="inlineStr">
        <is>
          <t>Touch</t>
        </is>
      </c>
      <c r="F190" t="inlineStr">
        <is>
          <t>Special</t>
        </is>
      </c>
      <c r="G190" t="inlineStr">
        <is>
          <t>Fellowship Bonus hours</t>
        </is>
      </c>
      <c r="H190" t="inlineStr">
        <is>
          <t>You bless and consecrate the union between two souls. While the Miracle is in effect, if biologically possible, the couple will conceive a child.</t>
        </is>
      </c>
      <c r="I190" t="n">
        <v>226</v>
      </c>
    </row>
    <row r="191">
      <c r="A191" t="inlineStr">
        <is>
          <t>Anchorite's Endurance</t>
        </is>
      </c>
      <c r="B191" t="inlineStr">
        <is>
          <t>Miracle</t>
        </is>
      </c>
      <c r="C191" t="inlineStr">
        <is>
          <t>Shallya</t>
        </is>
      </c>
      <c r="E191" t="inlineStr">
        <is>
          <t>Fellowship yards</t>
        </is>
      </c>
      <c r="F191" t="inlineStr">
        <is>
          <t>1</t>
        </is>
      </c>
      <c r="G191" t="inlineStr">
        <is>
          <t>Fellowship Bonus Rounds</t>
        </is>
      </c>
      <c r="H191" t="inlineStr">
        <is>
          <t>Your earnest prayers appeal to Shallya to grant the target the strength to endure. The target feels no pain, gains the Painless Creature trait, and suffers no penalties caused by Conditions.</t>
        </is>
      </c>
      <c r="I191" t="n">
        <v>226</v>
      </c>
    </row>
    <row r="192">
      <c r="A192" t="inlineStr">
        <is>
          <t>Balm to a Wounded Mind</t>
        </is>
      </c>
      <c r="B192" t="inlineStr">
        <is>
          <t>Miracle</t>
        </is>
      </c>
      <c r="C192" t="inlineStr">
        <is>
          <t>Shallya</t>
        </is>
      </c>
      <c r="E192" t="inlineStr">
        <is>
          <t>Touch</t>
        </is>
      </c>
      <c r="F192" t="inlineStr">
        <is>
          <t>1</t>
        </is>
      </c>
      <c r="G192" t="inlineStr">
        <is>
          <t>Fellowship Bonus minutes</t>
        </is>
      </c>
      <c r="H192" t="inlineStr">
        <is>
          <t>You call on Shallya to calm the troubled mind of your target. All Psychology Traits are removed for the duration, and afterwards the target enters deep and restful slumbers that last until next sunrise, assuming they are not disturbed. An unwilling target may make a Challenging (+0 SL) Cool Test to resist sleeping.</t>
        </is>
      </c>
      <c r="I192" t="n">
        <v>226</v>
      </c>
    </row>
    <row r="193">
      <c r="A193" t="inlineStr">
        <is>
          <t>Bitter Catharsis</t>
        </is>
      </c>
      <c r="B193" t="inlineStr">
        <is>
          <t>Miracle</t>
        </is>
      </c>
      <c r="C193" t="inlineStr">
        <is>
          <t>Shallya</t>
        </is>
      </c>
      <c r="E193" t="inlineStr">
        <is>
          <t>Touch</t>
        </is>
      </c>
      <c r="F193" t="inlineStr">
        <is>
          <t>1</t>
        </is>
      </c>
      <c r="G193" t="inlineStr">
        <is>
          <t>Instant</t>
        </is>
      </c>
      <c r="H193" t="inlineStr">
        <is>
          <t>In answer to your heartfelt prayers, Shallya draws a poison or disease into you and purges it, completely removing it from your target's system. For every +2 SL, you may purge another disease or poison. For each poison removed or disease cured in this manner, you suffer 1d10 – Fellowship Bonus Wounds.</t>
        </is>
      </c>
      <c r="I193" t="n">
        <v>226</v>
      </c>
    </row>
    <row r="194">
      <c r="A194" t="inlineStr">
        <is>
          <t>Martyr</t>
        </is>
      </c>
      <c r="B194" t="inlineStr">
        <is>
          <t>Miracle</t>
        </is>
      </c>
      <c r="C194" t="inlineStr">
        <is>
          <t>Shallya</t>
        </is>
      </c>
      <c r="E194" t="inlineStr">
        <is>
          <t>Fellowship yards</t>
        </is>
      </c>
      <c r="F194" t="inlineStr">
        <is>
          <t>1</t>
        </is>
      </c>
      <c r="G194" t="inlineStr">
        <is>
          <t>Fellowship Bonus Rounds</t>
        </is>
      </c>
      <c r="H194" t="inlineStr">
        <is>
          <t>You intone prayers concerning Shallya's need to take on the world's pain. Any Damage taken by your target is instead suffered by you; add your Fellowship Bonus to your Toughness Bonus for the purpose of calculating the Wounds suffered from that Damage.</t>
        </is>
      </c>
      <c r="I194" t="n">
        <v>226</v>
      </c>
    </row>
    <row r="195">
      <c r="A195" t="inlineStr">
        <is>
          <t>Shallya's Tears</t>
        </is>
      </c>
      <c r="B195" t="inlineStr">
        <is>
          <t>Miracle</t>
        </is>
      </c>
      <c r="C195" t="inlineStr">
        <is>
          <t>Shallya</t>
        </is>
      </c>
      <c r="E195" t="inlineStr">
        <is>
          <t>Touch</t>
        </is>
      </c>
      <c r="F195" t="inlineStr">
        <is>
          <t>1</t>
        </is>
      </c>
      <c r="G195" t="inlineStr">
        <is>
          <t>Special</t>
        </is>
      </c>
      <c r="H195" t="inlineStr">
        <is>
          <t>You pray for 10 – Fellowship Bonus Rounds, at which point you heal the target of 1 Critical Wound. For every +2 SL, you may heal another Critical Wound. If your prayer is interrupted, the target receives no benefit. This Miracle cannot reattach amputated body parts.</t>
        </is>
      </c>
      <c r="I195" t="n">
        <v>226</v>
      </c>
    </row>
    <row r="196">
      <c r="A196" t="inlineStr">
        <is>
          <t>Unblemished Innocence</t>
        </is>
      </c>
      <c r="B196" t="inlineStr">
        <is>
          <t>Miracle</t>
        </is>
      </c>
      <c r="C196" t="inlineStr">
        <is>
          <t>Shallya</t>
        </is>
      </c>
      <c r="E196" t="inlineStr">
        <is>
          <t>Touch</t>
        </is>
      </c>
      <c r="F196" t="inlineStr">
        <is>
          <t>1</t>
        </is>
      </c>
      <c r="G196" t="inlineStr">
        <is>
          <t>Instant</t>
        </is>
      </c>
      <c r="H196" t="inlineStr">
        <is>
          <t>The target loses 1 Corruption Point gained within the last hour, and can lose another per +2 SL scored. However, the Chaos Gods do not like to be so directly opposed. Should an attempt to invoke the Miracle Fumble, you and the target both gain 1d10 Corruption Points on top of any other effects.</t>
        </is>
      </c>
      <c r="I196" t="n">
        <v>226</v>
      </c>
    </row>
    <row r="197">
      <c r="A197" t="inlineStr">
        <is>
          <t>Beacon of Righteous Virtue</t>
        </is>
      </c>
      <c r="B197" t="inlineStr">
        <is>
          <t>Miracle</t>
        </is>
      </c>
      <c r="C197" t="inlineStr">
        <is>
          <t>Sigmar</t>
        </is>
      </c>
      <c r="E197" t="inlineStr">
        <is>
          <t>You</t>
        </is>
      </c>
      <c r="F197" t="inlineStr">
        <is>
          <t>You</t>
        </is>
      </c>
      <c r="G197" t="inlineStr">
        <is>
          <t>Fellowship Bonus Rounds</t>
        </is>
      </c>
      <c r="H197" t="inlineStr">
        <is>
          <t>As you bellow prayers in Sigmar's name, you become infused with the holy fire of righteousness. All allies who can see you instantaneously remove all Broken Conditions, and gain the Fearless (Everything) Talent while the Miracle is in effect and you remain in their line of sight. You cause Fear in orcs and goblins.</t>
        </is>
      </c>
      <c r="I197" t="n">
        <v>226</v>
      </c>
    </row>
    <row r="198">
      <c r="A198" t="inlineStr">
        <is>
          <t>Heed Not the Witch</t>
        </is>
      </c>
      <c r="B198" t="inlineStr">
        <is>
          <t>Miracle</t>
        </is>
      </c>
      <c r="C198" t="inlineStr">
        <is>
          <t>Sigmar</t>
        </is>
      </c>
      <c r="E198" t="inlineStr">
        <is>
          <t>You</t>
        </is>
      </c>
      <c r="F198" t="inlineStr">
        <is>
          <t>You with AoE (Fellowship Bonus yards)</t>
        </is>
      </c>
      <c r="G198" t="inlineStr">
        <is>
          <t>Fellowship Bonus Rounds</t>
        </is>
      </c>
      <c r="H198" t="inlineStr">
        <is>
          <t>You call on Sigmar to protect those close to you from the fell influence of Chaos. Any Spells that target anyone or anywhere within the Area of Effect suffer a penalty of -2 SL to Casting Tests, in addition to any other penalties.</t>
        </is>
      </c>
      <c r="I198" t="n">
        <v>226</v>
      </c>
    </row>
    <row r="199">
      <c r="A199" t="inlineStr">
        <is>
          <t>Sigmar's Fiery Hammer</t>
        </is>
      </c>
      <c r="B199" t="inlineStr">
        <is>
          <t>Miracle</t>
        </is>
      </c>
      <c r="C199" t="inlineStr">
        <is>
          <t>Sigmar</t>
        </is>
      </c>
      <c r="E199" t="inlineStr">
        <is>
          <t>You</t>
        </is>
      </c>
      <c r="F199" t="inlineStr">
        <is>
          <t>You</t>
        </is>
      </c>
      <c r="G199" t="inlineStr">
        <is>
          <t>Fellowship Bonus Rounds</t>
        </is>
      </c>
      <c r="H199" t="inlineStr">
        <is>
          <t>You chant benedictions of Sigmar's might. If wielding a warhammer, it counts as Magical, deals +Fellowship Bonus Damage, and any target struck receives +1 Ablaze Condition.</t>
        </is>
      </c>
      <c r="I199" t="n">
        <v>227</v>
      </c>
    </row>
    <row r="200">
      <c r="A200" t="inlineStr">
        <is>
          <t>Soulfire</t>
        </is>
      </c>
      <c r="B200" t="inlineStr">
        <is>
          <t>Miracle</t>
        </is>
      </c>
      <c r="C200" t="inlineStr">
        <is>
          <t>Sigmar</t>
        </is>
      </c>
      <c r="E200" t="inlineStr">
        <is>
          <t>You</t>
        </is>
      </c>
      <c r="F200" t="inlineStr">
        <is>
          <t>AoE (Fellowship Bonus yards)</t>
        </is>
      </c>
      <c r="G200" t="inlineStr">
        <is>
          <t>Instant</t>
        </is>
      </c>
      <c r="H200" t="inlineStr">
        <is>
          <t>A holy fire explodes from your body, blasting outwards. All targets around you in the Area of Effect take 1d10 Wounds ignoring Toughness Bonus and Armour Points. Targets with the Daemon or Undead Creature Trait also gain an Ablaze Condition. For every SL, you may cause an extra +1 Wound to any orcs, goblins, undead, or servants of the Ruinous Powers.</t>
        </is>
      </c>
      <c r="I200" t="n">
        <v>227</v>
      </c>
    </row>
    <row r="201">
      <c r="A201" t="inlineStr">
        <is>
          <t>Twin-tailed Comet</t>
        </is>
      </c>
      <c r="B201" t="inlineStr">
        <is>
          <t>Miracle</t>
        </is>
      </c>
      <c r="C201" t="inlineStr">
        <is>
          <t>Sigmar</t>
        </is>
      </c>
      <c r="E201" t="inlineStr">
        <is>
          <t>Fellowship yards</t>
        </is>
      </c>
      <c r="F201" t="inlineStr">
        <is>
          <t>AoE (Fellowship Bonus yards, maximum)</t>
        </is>
      </c>
      <c r="G201" t="inlineStr">
        <is>
          <t>Instant</t>
        </is>
      </c>
      <c r="H201" t="inlineStr">
        <is>
          <t>A twin-tailed comet, blazing a trail of fire in its wake, plummets from the heavens to strike an area within line of sight and range that contains those Sigmar would deem an enemy. Everything within the Area of Effect, except invalid creatures, suffers 1d10 + SL Wounds, ignoring Toughness Bonus and Armour Points, and gains an Ablaze Condition.</t>
        </is>
      </c>
      <c r="I201" t="n">
        <v>227</v>
      </c>
    </row>
    <row r="202">
      <c r="A202" t="inlineStr">
        <is>
          <t>Vanquish the Unrighteous</t>
        </is>
      </c>
      <c r="B202" t="inlineStr">
        <is>
          <t>Miracle</t>
        </is>
      </c>
      <c r="C202" t="inlineStr">
        <is>
          <t>Sigmar</t>
        </is>
      </c>
      <c r="E202" t="inlineStr">
        <is>
          <t>You</t>
        </is>
      </c>
      <c r="F202" t="inlineStr">
        <is>
          <t>AoE (Fellowship Bonus yards)</t>
        </is>
      </c>
      <c r="G202" t="inlineStr">
        <is>
          <t>Fellowship Bonus Rounds</t>
        </is>
      </c>
      <c r="H202" t="inlineStr">
        <is>
          <t>Your prayers instil your chosen allies with a burning hatred for the enemies of Sigmar. Allied characters gain Hatred (see page 184) towards orcs, goblins, undead, and any associated with Chaos. After slaying such a foe, Hatred grants +2 SL to combat Tests instead of +1 SL.</t>
        </is>
      </c>
      <c r="I202" t="n">
        <v>227</v>
      </c>
    </row>
    <row r="203">
      <c r="A203" t="inlineStr">
        <is>
          <t>Animal Instincts</t>
        </is>
      </c>
      <c r="B203" t="inlineStr">
        <is>
          <t>Miracle</t>
        </is>
      </c>
      <c r="C203" t="inlineStr">
        <is>
          <t>Taal</t>
        </is>
      </c>
      <c r="E203" t="inlineStr">
        <is>
          <t>Touch</t>
        </is>
      </c>
      <c r="F203" t="inlineStr">
        <is>
          <t>1</t>
        </is>
      </c>
      <c r="G203" t="inlineStr">
        <is>
          <t>Fellowship Bonus hours</t>
        </is>
      </c>
      <c r="H203" t="inlineStr">
        <is>
          <t>You intone chants describing Taal's extraordinary senses, and call upon him for aid. While the Miracle is in effect, you gain +1 Acute Sense (Any One) Talent and, if you rest, you will automatically awaken should any threats come within Perception yards.</t>
        </is>
      </c>
      <c r="I203" t="n">
        <v>227</v>
      </c>
    </row>
    <row r="204">
      <c r="A204" t="inlineStr">
        <is>
          <t>King of the Wild</t>
        </is>
      </c>
      <c r="B204" t="inlineStr">
        <is>
          <t>Miracle</t>
        </is>
      </c>
      <c r="C204" t="inlineStr">
        <is>
          <t>Taal</t>
        </is>
      </c>
      <c r="E204" t="inlineStr">
        <is>
          <t>Fellowship yards</t>
        </is>
      </c>
      <c r="F204" t="inlineStr">
        <is>
          <t>1</t>
        </is>
      </c>
      <c r="G204" t="inlineStr">
        <is>
          <t>Fellowship Bonus minutes</t>
        </is>
      </c>
      <c r="H204" t="inlineStr">
        <is>
          <t>You chant a low prayer, and Taal answers with a wild animal appropriate for the surrounding area, which will act according to your wishes for the duration of the Miracle. See The Beasts of the Reikland on pages 325–327 for sample animals that may be summoned.</t>
        </is>
      </c>
      <c r="I204" t="n">
        <v>227</v>
      </c>
    </row>
    <row r="205">
      <c r="A205" t="inlineStr">
        <is>
          <t>Leaping Stag</t>
        </is>
      </c>
      <c r="B205" t="inlineStr">
        <is>
          <t>Miracle</t>
        </is>
      </c>
      <c r="C205" t="inlineStr">
        <is>
          <t>Taal</t>
        </is>
      </c>
      <c r="E205" t="inlineStr">
        <is>
          <t>You</t>
        </is>
      </c>
      <c r="F205" t="inlineStr">
        <is>
          <t>You</t>
        </is>
      </c>
      <c r="G205" t="inlineStr">
        <is>
          <t>Fellowship Bonus Rounds</t>
        </is>
      </c>
      <c r="H205" t="inlineStr">
        <is>
          <t>You chant to Father Taal, and he grants you his favour, imbuing you with speed and agility. You gain +1 Movement and +1 Strong Legs Talent. Further, you automatically pass all Athletics Tests made when Leaping.</t>
        </is>
      </c>
      <c r="I205" t="n">
        <v>227</v>
      </c>
    </row>
    <row r="206">
      <c r="A206" t="inlineStr">
        <is>
          <t>Lord of the Hunt</t>
        </is>
      </c>
      <c r="B206" t="inlineStr">
        <is>
          <t>Miracle</t>
        </is>
      </c>
      <c r="C206" t="inlineStr">
        <is>
          <t>Taal</t>
        </is>
      </c>
      <c r="E206" t="inlineStr">
        <is>
          <t>You</t>
        </is>
      </c>
      <c r="F206" t="inlineStr">
        <is>
          <t>You</t>
        </is>
      </c>
      <c r="G206" t="inlineStr">
        <is>
          <t>Fellowship Bonus hours</t>
        </is>
      </c>
      <c r="H206" t="inlineStr">
        <is>
          <t>While the Miracle is in effect, you cannot lose your quarry's trail save by supernatural means. Should your quarry enter a settlement, the trail ends there. You also receive +1 SL to all Tests regarding your quarry while under the influence of the Miracle.</t>
        </is>
      </c>
      <c r="I206" t="n">
        <v>227</v>
      </c>
    </row>
    <row r="207">
      <c r="A207" t="inlineStr">
        <is>
          <t>Tanglefoot</t>
        </is>
      </c>
      <c r="B207" t="inlineStr">
        <is>
          <t>Miracle</t>
        </is>
      </c>
      <c r="C207" t="inlineStr">
        <is>
          <t>Taal</t>
        </is>
      </c>
      <c r="E207" t="inlineStr">
        <is>
          <t>Fellowship yards</t>
        </is>
      </c>
      <c r="F207" t="inlineStr">
        <is>
          <t>AoE (Fellowship Bonus yards)</t>
        </is>
      </c>
      <c r="G207" t="inlineStr">
        <is>
          <t>Instant</t>
        </is>
      </c>
      <c r="H207" t="inlineStr">
        <is>
          <t>You call on Taal, chanting prayers to protect his wild places. Roots, vines, and creepers wrap themselves around your targets. All targets within the Area of Effect gain an Entangled Condition with a Strength equal to your Fellowship.</t>
        </is>
      </c>
      <c r="I207" t="n">
        <v>228</v>
      </c>
    </row>
    <row r="208">
      <c r="A208" t="inlineStr">
        <is>
          <t>Tooth and Claw</t>
        </is>
      </c>
      <c r="B208" t="inlineStr">
        <is>
          <t>Miracle</t>
        </is>
      </c>
      <c r="C208" t="inlineStr">
        <is>
          <t>Taal</t>
        </is>
      </c>
      <c r="E208" t="inlineStr">
        <is>
          <t>You</t>
        </is>
      </c>
      <c r="F208" t="inlineStr">
        <is>
          <t>You</t>
        </is>
      </c>
      <c r="G208" t="inlineStr">
        <is>
          <t>Fellowship Bonus Rounds</t>
        </is>
      </c>
      <c r="H208" t="inlineStr">
        <is>
          <t>You call on Taal to grant you the ferocious might of his kingdom. Gain the Bite (Strength Bonus + 3) and Weapon (Strength Bonus + 4) Creature Traits. Their attacks are Magical.</t>
        </is>
      </c>
      <c r="I208" t="n">
        <v>228</v>
      </c>
    </row>
    <row r="209">
      <c r="A209" t="inlineStr">
        <is>
          <t>Hoarfrost's Chill</t>
        </is>
      </c>
      <c r="B209" t="inlineStr">
        <is>
          <t>Miracle</t>
        </is>
      </c>
      <c r="C209" t="inlineStr">
        <is>
          <t>Ulric</t>
        </is>
      </c>
      <c r="E209" t="inlineStr">
        <is>
          <t>You</t>
        </is>
      </c>
      <c r="F209" t="inlineStr">
        <is>
          <t>AoE (Fellowship yards)</t>
        </is>
      </c>
      <c r="G209" t="inlineStr">
        <is>
          <t>Fellowship Bonus Rounds</t>
        </is>
      </c>
      <c r="H209" t="inlineStr">
        <is>
          <t>You scream angry prayers, and cold Ulric answers. Your eyes gain a steely blue glint and the air around you grows unnaturally cold. You cause Fear (see page 183), and all within the Area of Effect except you lose Advantage at the start of each Round, as they are chilled to the bone.</t>
        </is>
      </c>
      <c r="I209" t="n">
        <v>228</v>
      </c>
    </row>
    <row r="210">
      <c r="A210" t="inlineStr">
        <is>
          <t>Howl of the Wolf</t>
        </is>
      </c>
      <c r="B210" t="inlineStr">
        <is>
          <t>Miracle</t>
        </is>
      </c>
      <c r="C210" t="inlineStr">
        <is>
          <t>Ulric</t>
        </is>
      </c>
      <c r="E210" t="inlineStr">
        <is>
          <t>Fellowship yards</t>
        </is>
      </c>
      <c r="F210" t="inlineStr">
        <is>
          <t>Special</t>
        </is>
      </c>
      <c r="G210" t="inlineStr">
        <is>
          <t>Fellowship Bonus Rounds</t>
        </is>
      </c>
      <c r="H210" t="inlineStr">
        <is>
          <t>The wolf fights your enemies for the duration of the Miracle before vanishing to Ulric's hunting grounds with a spectral, blood-chilling howl. White wolves have the statistics of a Wolf (see page 327) with Weapon Skill 45, Willpower 35, and the Bite +6, Frenzy, Magical, and Size (Large) Creature Traits.</t>
        </is>
      </c>
      <c r="I210" t="n">
        <v>228</v>
      </c>
    </row>
    <row r="211">
      <c r="A211" t="inlineStr">
        <is>
          <t>Pelt of the Winter Wolf</t>
        </is>
      </c>
      <c r="B211" t="inlineStr">
        <is>
          <t>Miracle</t>
        </is>
      </c>
      <c r="C211" t="inlineStr">
        <is>
          <t>Ulric</t>
        </is>
      </c>
      <c r="E211" t="inlineStr">
        <is>
          <t>Touch</t>
        </is>
      </c>
      <c r="F211" t="inlineStr">
        <is>
          <t>1</t>
        </is>
      </c>
      <c r="G211" t="inlineStr">
        <is>
          <t>Fellowship Bonus hours</t>
        </is>
      </c>
      <c r="H211" t="inlineStr">
        <is>
          <t>Your bellowed prayers bring Ulric's attention, allowing your target to survive the bite of his realm. While they still feel the pain and discomfort caused by cold and wintry weather, they suffer no mechanical penalties.</t>
        </is>
      </c>
      <c r="I211" t="n">
        <v>228</v>
      </c>
    </row>
    <row r="212">
      <c r="A212" t="inlineStr">
        <is>
          <t>The Snow King's Judgement</t>
        </is>
      </c>
      <c r="B212" t="inlineStr">
        <is>
          <t>Miracle</t>
        </is>
      </c>
      <c r="C212" t="inlineStr">
        <is>
          <t>Ulric</t>
        </is>
      </c>
      <c r="E212" t="inlineStr">
        <is>
          <t>Fellowship yards</t>
        </is>
      </c>
      <c r="F212" t="inlineStr">
        <is>
          <t>1</t>
        </is>
      </c>
      <c r="G212" t="inlineStr">
        <is>
          <t>Instant</t>
        </is>
      </c>
      <c r="H212" t="inlineStr">
        <is>
          <t>You call on Ulric to make manifest his disdain for the weak, the cowardly, and the deceitful. The target's blood and marrow freeze, causing 1d10 Wounds ignoring Toughness Bonus and Armour Points. For every SL, you may cause 1 additional Wound. If the GM rules that the target is neither weak, cowardly, nor deceitful, you suffer the effects instead.</t>
        </is>
      </c>
      <c r="I212" t="n">
        <v>228</v>
      </c>
    </row>
    <row r="213">
      <c r="A213" t="inlineStr">
        <is>
          <t>Ulric's Fury</t>
        </is>
      </c>
      <c r="B213" t="inlineStr">
        <is>
          <t>Miracle</t>
        </is>
      </c>
      <c r="C213" t="inlineStr">
        <is>
          <t>Ulric</t>
        </is>
      </c>
      <c r="E213" t="inlineStr">
        <is>
          <t>Fellowship yards</t>
        </is>
      </c>
      <c r="F213" t="inlineStr">
        <is>
          <t>1</t>
        </is>
      </c>
      <c r="G213" t="inlineStr">
        <is>
          <t>Fellowship Bonus Rounds</t>
        </is>
      </c>
      <c r="H213" t="inlineStr">
        <is>
          <t>You chant furious prayers, and Ulric's ferocity spreads. An ally may take a free Frenzy Test (see page 184) on their Turns. However, instead of granting a free attack, Frenzy adds +1d10 Damage to the first melee hit they make on their Turn. If they roll 10, they keep rolling, adding more Damage each time, until they roll less than 10.</t>
        </is>
      </c>
      <c r="I213" t="n">
        <v>228</v>
      </c>
    </row>
    <row r="214">
      <c r="A214" t="inlineStr">
        <is>
          <t>Winter's Bite</t>
        </is>
      </c>
      <c r="B214" t="inlineStr">
        <is>
          <t>Miracle</t>
        </is>
      </c>
      <c r="C214" t="inlineStr">
        <is>
          <t>Ulric</t>
        </is>
      </c>
      <c r="E214" t="inlineStr">
        <is>
          <t>You</t>
        </is>
      </c>
      <c r="F214" t="inlineStr">
        <is>
          <t>You</t>
        </is>
      </c>
      <c r="G214" t="inlineStr">
        <is>
          <t>Fellowship Bonus Rounds</t>
        </is>
      </c>
      <c r="H214" t="inlineStr">
        <is>
          <t>You roar prayers concerning Blitzbeil, Ulric's ever-thirsty axe. If wielding an axe, it counts as Magical, causes an additional +SL Damage, and any targets struck gain a Fatigued Condition. Further, struck targets lose any Bleeding Conditions as their blood freezes; similarly, attacks from your axe cannot cause any Bleeding Conditions.</t>
        </is>
      </c>
      <c r="I214" t="n">
        <v>228</v>
      </c>
    </row>
    <row r="215">
      <c r="A215" t="inlineStr">
        <is>
          <t>As Verena Is My Witness</t>
        </is>
      </c>
      <c r="B215" t="inlineStr">
        <is>
          <t>Miracle</t>
        </is>
      </c>
      <c r="C215" t="inlineStr">
        <is>
          <t>Verena</t>
        </is>
      </c>
      <c r="E215" t="inlineStr">
        <is>
          <t>You</t>
        </is>
      </c>
      <c r="F215" t="inlineStr">
        <is>
          <t>You</t>
        </is>
      </c>
      <c r="H215" t="inlineStr">
        <is>
          <t>Fellowship Bonus Rounds By calling Verena as your witness, the truth of your words shines out for all to see. For the duration of the Miracle, provided you speak only the truth, all listeners will believe you speak truly. This does not necessarily mean they will agree with your conclusions, of course.</t>
        </is>
      </c>
      <c r="I215" t="n">
        <v>229</v>
      </c>
    </row>
    <row r="216">
      <c r="A216" t="inlineStr">
        <is>
          <t>Blind Justice</t>
        </is>
      </c>
      <c r="B216" t="inlineStr">
        <is>
          <t>Miracle</t>
        </is>
      </c>
      <c r="C216" t="inlineStr">
        <is>
          <t>Verena</t>
        </is>
      </c>
      <c r="E216" t="inlineStr">
        <is>
          <t>You</t>
        </is>
      </c>
      <c r="F216" t="inlineStr">
        <is>
          <t>You</t>
        </is>
      </c>
      <c r="G216" t="inlineStr">
        <is>
          <t>Fellowship Bonus Rounds</t>
        </is>
      </c>
      <c r="H216" t="inlineStr">
        <is>
          <t>You may make a Challenging (+0 SL) Perception Test to see through Spells and Miracles involving illusion or misdirection. You may also make an Average (+2 SL) Intuition Test to tell whether a character speaking to you is lying. Note: This will only tell you if the character believes they speak the truth; it will not alert you if they are mistaken.</t>
        </is>
      </c>
      <c r="I216" t="n">
        <v>229</v>
      </c>
    </row>
    <row r="217">
      <c r="A217" t="inlineStr">
        <is>
          <t>Shackles of Truth</t>
        </is>
      </c>
      <c r="B217" t="inlineStr">
        <is>
          <t>Miracle</t>
        </is>
      </c>
      <c r="C217" t="inlineStr">
        <is>
          <t>Verena</t>
        </is>
      </c>
      <c r="E217" t="inlineStr">
        <is>
          <t>Fellowship Bonus yards</t>
        </is>
      </c>
      <c r="F217" t="inlineStr">
        <is>
          <t>1</t>
        </is>
      </c>
      <c r="G217" t="inlineStr">
        <is>
          <t>Fellowship Bonus Rounds</t>
        </is>
      </c>
      <c r="H217" t="inlineStr">
        <is>
          <t>Your appeal to Verena, requesting her judgement concerning a suspected criminal. If your target committed a crime and claims they did not, they gain an Entangled Condition that cannot be removed for the duration. If you have falsely accused the target, Verena is displeased with your lack of wisdom: you must immediately roll on the Wrath of the Gods table.</t>
        </is>
      </c>
      <c r="I217" t="n">
        <v>229</v>
      </c>
    </row>
    <row r="218">
      <c r="A218" t="inlineStr">
        <is>
          <t>Sword of Justice</t>
        </is>
      </c>
      <c r="B218" t="inlineStr">
        <is>
          <t>Miracle</t>
        </is>
      </c>
      <c r="C218" t="inlineStr">
        <is>
          <t>Verena</t>
        </is>
      </c>
      <c r="E218" t="inlineStr">
        <is>
          <t>You</t>
        </is>
      </c>
      <c r="F218" t="inlineStr">
        <is>
          <t>You</t>
        </is>
      </c>
      <c r="G218" t="inlineStr">
        <is>
          <t>Fellowship Bonus Rounds</t>
        </is>
      </c>
      <c r="H218" t="inlineStr">
        <is>
          <t>If wielding a sword, it ignores Armour Points and counts as Magical. Further, if struck opponents are criminals (as determined by the GM), they must make an Average (+2 SL) Endurance Test or suffer the Unconscious Condition that lasts for at least Fellowship Bonus Rounds.</t>
        </is>
      </c>
      <c r="I218" t="n">
        <v>229</v>
      </c>
    </row>
    <row r="219">
      <c r="A219" t="inlineStr">
        <is>
          <t>Truth Will Out</t>
        </is>
      </c>
      <c r="B219" t="inlineStr">
        <is>
          <t>Miracle</t>
        </is>
      </c>
      <c r="C219" t="inlineStr">
        <is>
          <t>Verena</t>
        </is>
      </c>
      <c r="E219" t="inlineStr">
        <is>
          <t>Fellowship Bonus yards</t>
        </is>
      </c>
      <c r="F219" t="inlineStr">
        <is>
          <t>1</t>
        </is>
      </c>
      <c r="G219" t="inlineStr">
        <is>
          <t>Instant</t>
        </is>
      </c>
      <c r="H219" t="inlineStr">
        <is>
          <t>You may ask the target a single question. It will be immediately answered truthfully and fully. The target may resist with an Opposed Average (+2 SL) Cool Test against your SL. If they win, they may stubbornly refuse to answer.</t>
        </is>
      </c>
      <c r="I219" t="n">
        <v>229</v>
      </c>
    </row>
    <row r="220">
      <c r="A220" t="inlineStr">
        <is>
          <t>Wisdom of the Owl</t>
        </is>
      </c>
      <c r="B220" t="inlineStr">
        <is>
          <t>Miracle</t>
        </is>
      </c>
      <c r="C220" t="inlineStr">
        <is>
          <t>Verena</t>
        </is>
      </c>
      <c r="E220" t="inlineStr">
        <is>
          <t>You</t>
        </is>
      </c>
      <c r="F220" t="inlineStr">
        <is>
          <t>You</t>
        </is>
      </c>
      <c r="G220" t="inlineStr">
        <is>
          <t>Fellowship Bonus Rounds</t>
        </is>
      </c>
      <c r="H220" t="inlineStr">
        <is>
          <t>You call on Verena to instil you with her wisdom and knowledge. You gain +20 Intelligence and you may ask the GM the likeliest outcome of one of your immediate decisions with the facts you have available. Further, your pupils dilate widely, and your gaze becomes piercing and unsettling: gain +1 Acute Sense (Sight), Menacing, and Night Vision Talents.</t>
        </is>
      </c>
      <c r="I220" t="n">
        <v>229</v>
      </c>
    </row>
  </sheetData>
  <autoFilter ref="A1:I2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2026-10-02T12:17:18Z</dcterms:created>
  <dcterms:modified xmlns:dcterms="http://purl.org/dc/terms/" xmlns:xsi="http://www.w3.org/2001/XMLSchema-instance" xsi:type="dcterms:W3CDTF">2026-10-02T12:17:18Z</dcterms:modified>
</cp:coreProperties>
</file>